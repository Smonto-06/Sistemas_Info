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eafit-my.sharepoint.com/personal/emesamun_eafit_edu_co/Documents/Escritorio/"/>
    </mc:Choice>
  </mc:AlternateContent>
  <xr:revisionPtr revIDLastSave="0" documentId="8_{968DADE3-F9FC-4D49-893D-7C17A844EB53}" xr6:coauthVersionLast="47" xr6:coauthVersionMax="47" xr10:uidLastSave="{00000000-0000-0000-0000-000000000000}"/>
  <bookViews>
    <workbookView xWindow="28680" yWindow="-120" windowWidth="29040" windowHeight="15720" tabRatio="1000" firstSheet="2" activeTab="2" xr2:uid="{00000000-000D-0000-FFFF-FFFF00000000}"/>
  </bookViews>
  <sheets>
    <sheet name="0. Datos Empresa" sheetId="1" r:id="rId1"/>
    <sheet name="1. Catálogo Procesos" sheetId="2" r:id="rId2"/>
    <sheet name="2. Priorización Automatización" sheetId="3" r:id="rId3"/>
    <sheet name="3. Recomendación Tecnológica" sheetId="4" r:id="rId4"/>
    <sheet name="3. Rec. Tec. P02" sheetId="6" r:id="rId10"/>
    <sheet name="3. Rec. Tec. P08" sheetId="7" r:id="rId11"/>
    <sheet name="4. Dashboard" sheetId="5" r:id="rId5"/>
  </sheets>
  <calcPr calcId="191028" iterateDelta="1E-4" forceFullCalc="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5" l="1"/>
  <c r="A95" i="5"/>
  <c r="B94" i="5"/>
  <c r="A94" i="5"/>
  <c r="B93" i="5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G31" i="5"/>
  <c r="G30" i="5"/>
  <c r="G29" i="5"/>
  <c r="G28" i="5"/>
  <c r="G27" i="5"/>
  <c r="G26" i="5"/>
  <c r="G25" i="5"/>
  <c r="K24" i="5"/>
  <c r="G24" i="5"/>
  <c r="K23" i="5"/>
  <c r="G23" i="5"/>
  <c r="K22" i="5"/>
  <c r="G22" i="5"/>
  <c r="K21" i="5"/>
  <c r="G21" i="5"/>
  <c r="K20" i="5"/>
  <c r="G20" i="5"/>
  <c r="K19" i="5"/>
  <c r="G19" i="5"/>
  <c r="K18" i="5"/>
  <c r="G18" i="5"/>
  <c r="K17" i="5"/>
  <c r="G17" i="5"/>
  <c r="K5" i="5"/>
  <c r="A5" i="5"/>
  <c r="B2" i="5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B11" i="4" s="1"/>
  <c r="E35" i="4"/>
  <c r="B10" i="4" s="1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B3" i="4"/>
  <c r="D2" i="4"/>
  <c r="P18" i="3"/>
  <c r="B69" i="5" s="1"/>
  <c r="L18" i="3"/>
  <c r="C95" i="5" s="1"/>
  <c r="D95" i="5" s="1"/>
  <c r="P17" i="3"/>
  <c r="B68" i="5" s="1"/>
  <c r="L17" i="3"/>
  <c r="C94" i="5" s="1"/>
  <c r="D94" i="5" s="1"/>
  <c r="P16" i="3"/>
  <c r="B67" i="5" s="1"/>
  <c r="L16" i="3"/>
  <c r="A67" i="5" s="1"/>
  <c r="P15" i="3"/>
  <c r="B66" i="5" s="1"/>
  <c r="L15" i="3"/>
  <c r="M15" i="3" s="1"/>
  <c r="P14" i="3"/>
  <c r="B65" i="5" s="1"/>
  <c r="L14" i="3"/>
  <c r="C91" i="5" s="1"/>
  <c r="D91" i="5" s="1"/>
  <c r="P13" i="3"/>
  <c r="B64" i="5" s="1"/>
  <c r="L13" i="3"/>
  <c r="A64" i="5" s="1"/>
  <c r="P12" i="3"/>
  <c r="B63" i="5" s="1"/>
  <c r="L12" i="3"/>
  <c r="A63" i="5" s="1"/>
  <c r="P11" i="3"/>
  <c r="B62" i="5" s="1"/>
  <c r="L11" i="3"/>
  <c r="C88" i="5" s="1"/>
  <c r="P10" i="3"/>
  <c r="B61" i="5" s="1"/>
  <c r="L10" i="3"/>
  <c r="C87" i="5" s="1"/>
  <c r="P9" i="3"/>
  <c r="B60" i="5" s="1"/>
  <c r="L9" i="3"/>
  <c r="A60" i="5" s="1"/>
  <c r="P8" i="3"/>
  <c r="B59" i="5" s="1"/>
  <c r="L8" i="3"/>
  <c r="C85" i="5" s="1"/>
  <c r="P7" i="3"/>
  <c r="B58" i="5" s="1"/>
  <c r="L7" i="3"/>
  <c r="C84" i="5" s="1"/>
  <c r="P6" i="3"/>
  <c r="B57" i="5" s="1"/>
  <c r="L6" i="3"/>
  <c r="A57" i="5" s="1"/>
  <c r="P5" i="3"/>
  <c r="B56" i="5" s="1"/>
  <c r="L5" i="3"/>
  <c r="C82" i="5" s="1"/>
  <c r="P4" i="3"/>
  <c r="B55" i="5" s="1"/>
  <c r="L4" i="3"/>
  <c r="A55" i="5" s="1"/>
  <c r="B1" i="3"/>
  <c r="B1" i="2"/>
  <c r="M6" i="3" l="1"/>
  <c r="M18" i="3"/>
  <c r="M14" i="3"/>
  <c r="B9" i="4"/>
  <c r="B14" i="4"/>
  <c r="A69" i="5"/>
  <c r="M12" i="3"/>
  <c r="A61" i="5"/>
  <c r="M16" i="3"/>
  <c r="B8" i="4"/>
  <c r="E5" i="4" s="1"/>
  <c r="B13" i="4"/>
  <c r="M8" i="3"/>
  <c r="M4" i="3"/>
  <c r="B17" i="5" s="1"/>
  <c r="A65" i="5"/>
  <c r="C83" i="5"/>
  <c r="M10" i="3"/>
  <c r="B12" i="4"/>
  <c r="C89" i="5"/>
  <c r="D89" i="5" s="1"/>
  <c r="B7" i="4"/>
  <c r="M7" i="3"/>
  <c r="M11" i="3"/>
  <c r="C86" i="5"/>
  <c r="C92" i="5"/>
  <c r="D92" i="5" s="1"/>
  <c r="K11" i="5"/>
  <c r="A58" i="5"/>
  <c r="A62" i="5"/>
  <c r="A66" i="5"/>
  <c r="C81" i="5"/>
  <c r="C90" i="5"/>
  <c r="D90" i="5" s="1"/>
  <c r="C93" i="5"/>
  <c r="D93" i="5" s="1"/>
  <c r="A59" i="5"/>
  <c r="M5" i="3"/>
  <c r="M9" i="3"/>
  <c r="M13" i="3"/>
  <c r="M17" i="3"/>
  <c r="F5" i="5"/>
  <c r="A56" i="5"/>
  <c r="A68" i="5"/>
  <c r="A8" i="5" l="1"/>
  <c r="A11" i="5"/>
  <c r="F8" i="5"/>
  <c r="K8" i="5"/>
  <c r="B16" i="5"/>
  <c r="D81" i="5"/>
  <c r="D87" i="5"/>
  <c r="D82" i="5"/>
  <c r="B15" i="5"/>
  <c r="D83" i="5"/>
  <c r="D85" i="5"/>
  <c r="D86" i="5"/>
  <c r="D88" i="5"/>
  <c r="F11" i="5"/>
  <c r="D84" i="5"/>
  <c r="B108" i="5" l="1"/>
  <c r="B102" i="5"/>
  <c r="A108" i="5"/>
  <c r="A102" i="5"/>
  <c r="B107" i="5"/>
  <c r="B101" i="5"/>
  <c r="A107" i="5"/>
  <c r="A101" i="5"/>
  <c r="B106" i="5"/>
  <c r="B100" i="5"/>
  <c r="A106" i="5"/>
  <c r="A100" i="5"/>
  <c r="B105" i="5"/>
  <c r="B99" i="5"/>
  <c r="A105" i="5"/>
  <c r="A99" i="5"/>
  <c r="A104" i="5"/>
  <c r="B103" i="5"/>
  <c r="A103" i="5"/>
  <c r="B10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3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Las decisiones del proceso se basan en reglas de negocio (no requieren criterio humano)?</t>
        </r>
      </text>
    </comment>
    <comment ref="D3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Los datos que ingresan al proceso siempre tienen un formato/estructura predeterminada?</t>
        </r>
      </text>
    </comment>
    <comment ref="E3" authorId="0" shapeId="0" xr:uid="{00000000-0006-0000-0200-000003000000}">
      <text>
        <r>
          <rPr>
            <sz val="11"/>
            <color theme="1"/>
            <rFont val="Calibri"/>
            <family val="2"/>
            <charset val="1"/>
          </rPr>
          <t>El proceso está estandarizado (siempre se ejecuta de la misma forma)?</t>
        </r>
      </text>
    </comment>
    <comment ref="F3" authorId="0" shapeId="0" xr:uid="{00000000-0006-0000-0200-000004000000}">
      <text>
        <r>
          <rPr>
            <sz val="11"/>
            <color theme="1"/>
            <rFont val="Calibri"/>
            <family val="2"/>
            <charset val="1"/>
          </rPr>
          <t>El proceso está documentado y/o diagramado?</t>
        </r>
      </text>
    </comment>
    <comment ref="G3" authorId="0" shapeId="0" xr:uid="{00000000-0006-0000-0200-000005000000}">
      <text>
        <r>
          <rPr>
            <sz val="11"/>
            <color theme="1"/>
            <rFont val="Calibri"/>
            <family val="2"/>
            <charset val="1"/>
          </rPr>
          <t>La ejecución manual del proceso tiene potencial de generar errores (cansancio, descuido)?</t>
        </r>
      </text>
    </comment>
    <comment ref="H3" authorId="0" shapeId="0" xr:uid="{00000000-0006-0000-0200-000006000000}">
      <text>
        <r>
          <rPr>
            <sz val="11"/>
            <color theme="1"/>
            <rFont val="Calibri"/>
            <family val="2"/>
            <charset val="1"/>
          </rPr>
          <t>El proceso/actividad impacta la experiencia del cliente (interno o externo)?</t>
        </r>
      </text>
    </comment>
    <comment ref="I3" authorId="0" shapeId="0" xr:uid="{00000000-0006-0000-0200-000007000000}">
      <text>
        <r>
          <rPr>
            <sz val="11"/>
            <color theme="1"/>
            <rFont val="Calibri"/>
            <family val="2"/>
            <charset val="1"/>
          </rPr>
          <t>El proceso se inicia por una señal o entrada electrónica (no requiere digitación manual inicial)?</t>
        </r>
      </text>
    </comment>
    <comment ref="J3" authorId="0" shapeId="0" xr:uid="{00000000-0006-0000-0200-000008000000}">
      <text>
        <r>
          <rPr>
            <sz val="11"/>
            <color theme="1"/>
            <rFont val="Calibri"/>
            <family val="2"/>
            <charset val="1"/>
          </rPr>
          <t>El proceso es manual y repetitivo?</t>
        </r>
      </text>
    </comment>
    <comment ref="K3" authorId="0" shapeId="0" xr:uid="{00000000-0006-0000-0200-000009000000}">
      <text>
        <r>
          <rPr>
            <sz val="11"/>
            <color theme="1"/>
            <rFont val="Calibri"/>
            <family val="2"/>
            <charset val="1"/>
          </rPr>
          <t>El proceso es estable (no se esperan cambios en actividades, TI o información en el próximo semestre)?</t>
        </r>
      </text>
    </comment>
  </commentList>
</comments>
</file>

<file path=xl/sharedStrings.xml><?xml version="1.0" encoding="utf-8"?>
<sst xmlns="http://schemas.openxmlformats.org/spreadsheetml/2006/main" count="465" uniqueCount="235">
  <si>
    <t>Datos de la Empresa Analizada</t>
  </si>
  <si>
    <t>Este libro evalúa SIEMPRE una sola empresa. Todos los procesos que registre en las pestañas siguientes (0..N) deben pertenecer a esta misma empresa; si su equipo necesita analizar otra empresa, use una copia nueva de este libro.</t>
  </si>
  <si>
    <t>Nombre de la empresa</t>
  </si>
  <si>
    <t>UNIVERSIDAD EAFIT</t>
  </si>
  <si>
    <t>Sector / industria</t>
  </si>
  <si>
    <t>EDUCACIÓN</t>
  </si>
  <si>
    <t>Tamaño (No. empleados)</t>
  </si>
  <si>
    <t>2800 APR</t>
  </si>
  <si>
    <t>Ciudad</t>
  </si>
  <si>
    <t>MEDELLIN</t>
  </si>
  <si>
    <t>Contacto en la empresa</t>
  </si>
  <si>
    <t>www.eafit.edu.co</t>
  </si>
  <si>
    <t>Cargo del contacto</t>
  </si>
  <si>
    <t>Dirección TI</t>
  </si>
  <si>
    <t>Equipo (integrantes)</t>
  </si>
  <si>
    <t>Fecha de evaluación</t>
  </si>
  <si>
    <t>Catálogo de procesos de:</t>
  </si>
  <si>
    <t>Categoría (nivel 1)</t>
  </si>
  <si>
    <t>Proceso genérico (nivel 2)</t>
  </si>
  <si>
    <t>Aplica a esta empresa?</t>
  </si>
  <si>
    <t>Nombre específico en la empresa</t>
  </si>
  <si>
    <t>Dueño del proceso</t>
  </si>
  <si>
    <t>1.0 Estrategia y Direccionamiento</t>
  </si>
  <si>
    <t>Definir y desplegar la estrategia organizacional</t>
  </si>
  <si>
    <t>Gestionar el portafolio de iniciativas/proyectos</t>
  </si>
  <si>
    <t>2.0 Desarrollo de Producto/Servicio</t>
  </si>
  <si>
    <t>Diseñar y desarrollar nuevos productos o servicios</t>
  </si>
  <si>
    <t>Gestionar el ciclo de vida del producto/servicio</t>
  </si>
  <si>
    <t>3.0 Mercadeo y Ventas</t>
  </si>
  <si>
    <t>Gestionar mercadeo y generación de demanda</t>
  </si>
  <si>
    <t>Gestionar el proceso comercial / ventas</t>
  </si>
  <si>
    <t>Gestionar precios y cotizaciones</t>
  </si>
  <si>
    <t>4.0 Operaciones / Entrega</t>
  </si>
  <si>
    <t>Planificar y programar la operación</t>
  </si>
  <si>
    <t>Producir o prestar el servicio</t>
  </si>
  <si>
    <t>Gestionar la cadena de abastecimiento y logística</t>
  </si>
  <si>
    <t>Gestionar inventarios y almacenamiento</t>
  </si>
  <si>
    <t>5.0 Servicio al Cliente</t>
  </si>
  <si>
    <t>Gestionar solicitudes, quejas y reclamos (PQR)</t>
  </si>
  <si>
    <t>Gestionar postventa y garantías</t>
  </si>
  <si>
    <t>Medir satisfacción del cliente</t>
  </si>
  <si>
    <t>6.0 Gestión Humana</t>
  </si>
  <si>
    <t>Reclutar, seleccionar y contratar personal</t>
  </si>
  <si>
    <t>Gestionar nómina y compensación</t>
  </si>
  <si>
    <t>Gestionar desempeño y desarrollo</t>
  </si>
  <si>
    <t>7.0 Tecnología de la Información</t>
  </si>
  <si>
    <t>Administrar aplicaciones y sistemas</t>
  </si>
  <si>
    <t>Sí</t>
  </si>
  <si>
    <t>Administración de aplicaciones y plataformas de gestión TI</t>
  </si>
  <si>
    <t>Dirección de TI</t>
  </si>
  <si>
    <t>Gestionar infraestructura y soporte TI</t>
  </si>
  <si>
    <t>Gestión de infraestructura de red, Wi-Fi, switches y puntos de acceso</t>
  </si>
  <si>
    <t>Infraestructura TI - Redes</t>
  </si>
  <si>
    <t>Gestionar seguridad de la información</t>
  </si>
  <si>
    <t>Gestión de seguridad de la información y controles de acceso a la red</t>
  </si>
  <si>
    <t>Seguridad de la Información</t>
  </si>
  <si>
    <t>8.0 Finanzas y Contabilidad</t>
  </si>
  <si>
    <t>Gestionar cuentas por cobrar y facturación</t>
  </si>
  <si>
    <t>Gestionar cuentas por pagar y tesorería</t>
  </si>
  <si>
    <t>Gestionar contabilidad y reportes financieros</t>
  </si>
  <si>
    <t>Gestionar presupuesto y control de costos</t>
  </si>
  <si>
    <t>9.0 Activos e Infraestructura Física</t>
  </si>
  <si>
    <t>Adquirir y gestionar activos fijos</t>
  </si>
  <si>
    <t>Gestionar mantenimiento de instalaciones/equipos</t>
  </si>
  <si>
    <t>Mantenimiento preventivo y correctivo de infraestructura tecnológica</t>
  </si>
  <si>
    <t>Infraestructura TI</t>
  </si>
  <si>
    <t>10.0 Riesgo, Cumplimiento y Legal</t>
  </si>
  <si>
    <t>Gestionar riesgos corporativos</t>
  </si>
  <si>
    <t>Gestionar cumplimiento normativo y legal</t>
  </si>
  <si>
    <t>11.0 Relacionamiento Externo</t>
  </si>
  <si>
    <t>Gestionar relacionamiento con proveedores</t>
  </si>
  <si>
    <t>Gestión de proveedores de conectividad y tecnología</t>
  </si>
  <si>
    <t>Dirección de TI / Compras</t>
  </si>
  <si>
    <t>Gestionar relacionamiento institucional / regulatorio</t>
  </si>
  <si>
    <t>12.0 Datos y Analítica</t>
  </si>
  <si>
    <t>Gestionar gobierno y calidad de datos</t>
  </si>
  <si>
    <t>Gobierno y calidad de inventario y datos de infraestructura TI</t>
  </si>
  <si>
    <t>Generar reportes e inteligencia de negocio</t>
  </si>
  <si>
    <t>Generación de reportes de disponibilidad, incidentes y desempeño de red</t>
  </si>
  <si>
    <t>Catálogo genérico basado en una taxonomía tipo APQC Process Classification Framework. Marque 'Sí' en los procesos que aplican a la empresa analizada (siempre la misma, definida en la pestaña '0. Datos Empresa'); agregue filas si la empresa tiene procesos propios que no aparecen aquí.</t>
  </si>
  <si>
    <t>Procesos evaluados de:</t>
  </si>
  <si>
    <t>Proceso</t>
  </si>
  <si>
    <t>Preguntas de viabilidad (Q1-Q9) - responda Sí/No</t>
  </si>
  <si>
    <t>Resultado</t>
  </si>
  <si>
    <t>Datos operativos (tiempo, personas, costo)</t>
  </si>
  <si>
    <t>ID Proceso</t>
  </si>
  <si>
    <t>Nombre del Proceso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</si>
  <si>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</si>
  <si>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</si>
  <si>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</si>
  <si>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</si>
  <si>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</si>
  <si>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</si>
  <si>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</si>
  <si>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</si>
  <si>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</si>
  <si>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Puntaje Viabilidad</t>
  </si>
  <si>
    <t>Clasificación</t>
  </si>
  <si>
    <t>Min./transacción</t>
  </si>
  <si>
    <t>Transacciones/mes</t>
  </si>
  <si>
    <t>Horas totales/mes</t>
  </si>
  <si>
    <t>Personas involucradas</t>
  </si>
  <si>
    <t>Costo externo ($/mes)</t>
  </si>
  <si>
    <t>P01</t>
  </si>
  <si>
    <t>Monitoreo de disponibilidad y alertas de switches y puntos de acceso</t>
  </si>
  <si>
    <t>P02</t>
  </si>
  <si>
    <t>Generación periódica de reportes de desempeño de red</t>
  </si>
  <si>
    <t>P03</t>
  </si>
  <si>
    <t>Registro, clasificación y seguimiento de incidentes de conectividad</t>
  </si>
  <si>
    <t>No</t>
  </si>
  <si>
    <t>P04</t>
  </si>
  <si>
    <t>Inventario y actualización de información de switches y AP</t>
  </si>
  <si>
    <t>P05</t>
  </si>
  <si>
    <t>Revisión y consolidación de logs de infraestructura</t>
  </si>
  <si>
    <t>P06</t>
  </si>
  <si>
    <t>Programación y seguimiento de actualizaciones de firmware</t>
  </si>
  <si>
    <t>P07</t>
  </si>
  <si>
    <t>Gestión de solicitudes de habilitación de puntos de red y VLAN</t>
  </si>
  <si>
    <t>P08</t>
  </si>
  <si>
    <t>Seguimiento de ocupación estimada de aulas mediante sensores ESP32</t>
  </si>
  <si>
    <t>P09</t>
  </si>
  <si>
    <t>P10</t>
  </si>
  <si>
    <t>P11</t>
  </si>
  <si>
    <t>P12</t>
  </si>
  <si>
    <t>P13</t>
  </si>
  <si>
    <t>P14</t>
  </si>
  <si>
    <t>P15</t>
  </si>
  <si>
    <t>Nota: respuestas y datos operativos son una propuesta inicial de trabajo; validar con el dueño del proceso antes de tomar decisiones.</t>
  </si>
  <si>
    <t>INSTRUCCIONES: preguntas de viabilidad Q1-Q9 (responda Sí/No por cada proceso, en las columnas C a K de la tabla de arriba)</t>
  </si>
  <si>
    <t>Las 9 preguntas están redactadas para que 'Sí' sea SIEMPRE la respuesta favorable a la automatización (a mayor número de 'Sí', mayor viabilidad). El 'Puntaje Viabilidad' (columna L) y la 'Clasificación' (columna M) se calculan automáticamente; no los edite.</t>
  </si>
  <si>
    <t>#</t>
  </si>
  <si>
    <t>Pregunta completa</t>
  </si>
  <si>
    <t>Las decisiones del proceso se basan en reglas de negocio (no requieren criterio humano)?</t>
  </si>
  <si>
    <t>Los datos que ingresan al proceso siempre tienen un formato/estructura predeterminada?</t>
  </si>
  <si>
    <t>El proceso está estandarizado (siempre se ejecuta de la misma forma)?</t>
  </si>
  <si>
    <t>El proceso está documentado y/o diagramado?</t>
  </si>
  <si>
    <t>La ejecución manual del proceso tiene potencial de generar errores (cansancio, descuido)?</t>
  </si>
  <si>
    <t>El proceso/actividad impacta la experiencia del cliente (interno o externo)?</t>
  </si>
  <si>
    <t>El proceso se inicia por una señal o entrada electrónica (no requiere digitación manual inicial)?</t>
  </si>
  <si>
    <t>El proceso es manual y repetitivo?</t>
  </si>
  <si>
    <t>El proceso es estable (no se esperan cambios en actividades, TI o información en el próximo semestre)?</t>
  </si>
  <si>
    <t>Clasificación: 86-100% Totalmente automatizable | 71-85% Automatizable | &lt;70% Descartar (misma escala del instrumento original). Todos los procesos de esta pestaña deben ser de la MISMA empresa (ver pestaña '0. Datos Empresa').</t>
  </si>
  <si>
    <t>Arbol de Decisión de Tecnologias - evaluación de UN proceso de la empresa</t>
  </si>
  <si>
    <t>Proceso evaluado (ID):</t>
  </si>
  <si>
    <t>Nombre:</t>
  </si>
  <si>
    <t>Empresa:</t>
  </si>
  <si>
    <t>Resultado por tecnología</t>
  </si>
  <si>
    <t>Tecnología recomendada:</t>
  </si>
  <si>
    <t>Tecnología</t>
  </si>
  <si>
    <t>Puntaje</t>
  </si>
  <si>
    <t>Inteligencia Artificial</t>
  </si>
  <si>
    <t>RPA</t>
  </si>
  <si>
    <t>ETL</t>
  </si>
  <si>
    <t>ESB</t>
  </si>
  <si>
    <t>Aplicaciones (nueva funcionalidad)</t>
  </si>
  <si>
    <t>BPA / BPMS</t>
  </si>
  <si>
    <t>Estandarizar + Mejora Continua</t>
  </si>
  <si>
    <t>RPA + OCR</t>
  </si>
  <si>
    <t>Preguntas (responda Sí/No para el proceso seleccionado arriba)</t>
  </si>
  <si>
    <t>Pregunta</t>
  </si>
  <si>
    <t>Peso</t>
  </si>
  <si>
    <t>Respuesta</t>
  </si>
  <si>
    <t>Existen datos históricos que permitan realizar pronósticos?</t>
  </si>
  <si>
    <t>Se identifica que existen preguntas frecuentes?</t>
  </si>
  <si>
    <t>Existen variables relacionables para establecer un modelo de decisión?</t>
  </si>
  <si>
    <t>Se requiere identificar patrones?</t>
  </si>
  <si>
    <t>El proceso requiere extraer o interpretar información de un texto?</t>
  </si>
  <si>
    <t>Se procesan altos volúmenes de transacciones por medio de interfaces de usuario?</t>
  </si>
  <si>
    <t>Las transacciones toman un tiempo considerable en ser atendidas?</t>
  </si>
  <si>
    <t>Los datos de entrada del proceso son estructurados?</t>
  </si>
  <si>
    <t>El proceso tiene una baja tasa de excepciones?</t>
  </si>
  <si>
    <t>El proceso está basado en reglas de negocio?</t>
  </si>
  <si>
    <t>Las entradas de información se encuentran estandarizadas?</t>
  </si>
  <si>
    <t>Hay integración de soluciones por medio de interfaces de usuario?</t>
  </si>
  <si>
    <t>El proceso tiene un alto número de condiciones o automatizaciones entre varias aplicaciones?</t>
  </si>
  <si>
    <t>Se requiere integración de datos con cambio de formato y traducción?</t>
  </si>
  <si>
    <t>Se requiere integración de datos masivos entre fuentes de datos?</t>
  </si>
  <si>
    <t>Se requiere carga masiva de datos vía repositorio de datos?</t>
  </si>
  <si>
    <t>Se requiere carga masiva de datos a través de importación por APIs?</t>
  </si>
  <si>
    <t>El sistema de información requiere una nueva funcionalidad que no existe hoy?</t>
  </si>
  <si>
    <t>Se requiere estandarizar las entradas del proceso?</t>
  </si>
  <si>
    <t>Se requiere intervenir un proceso de extremo a extremo?</t>
  </si>
  <si>
    <t>Hay interacciones entre áreas para responder el mismo proceso?</t>
  </si>
  <si>
    <t>Se atienden solicitudes por correo u otros medios electrónicos?</t>
  </si>
  <si>
    <t>Se deben unificar los sistemas de información?</t>
  </si>
  <si>
    <t>Se requiere realizar trazabilidad al proceso?</t>
  </si>
  <si>
    <t>La compañía está en un cambio empresarial (fusión/reestructuración) que requiere coordinar procesos?</t>
  </si>
  <si>
    <t>Los KPI no son positivos o requieren mejorarse y medirse?</t>
  </si>
  <si>
    <t>Se requieren mejorar los SLA?</t>
  </si>
  <si>
    <t>El proceso se encuentra altamente fragmentado?</t>
  </si>
  <si>
    <t>El proceso tiene actividades que no generan valor y se pueden ajustar?</t>
  </si>
  <si>
    <t>Se requiere adaptar el proceso a una herramienta o aplicativo?</t>
  </si>
  <si>
    <t>El proceso tiene la documentación actualizada?</t>
  </si>
  <si>
    <t>El proceso tiene actividades manuales que podrian automatizarse?</t>
  </si>
  <si>
    <t>El proceso presenta cuellos de botella?</t>
  </si>
  <si>
    <t>Los documentos del flujo son administrados manualmente?</t>
  </si>
  <si>
    <t>Existen reprocesos en el flujo que podrian suprimirse?</t>
  </si>
  <si>
    <t>El proceso podria cambiar en los próximos 6 meses (legal, roles, negocio)?</t>
  </si>
  <si>
    <t>El proceso presenta cantidad considerable de no conformidades?</t>
  </si>
  <si>
    <t>El cliente como participante agregaría valor significativo al proceso?</t>
  </si>
  <si>
    <t>El proceso requiere transcripción de información contenida en documentos?</t>
  </si>
  <si>
    <t>Se necesita solucionar algún captcha o recaptcha?</t>
  </si>
  <si>
    <t>Los documentos tienen información estructurada que requiera ser capturada?</t>
  </si>
  <si>
    <t>Se requiere custodia electrónica de documentos?</t>
  </si>
  <si>
    <t>Para evaluar otro proceso de la MISMA empresa: duplique esta pestaña (clic derecho &gt; Mover o copiar &gt; Crear una copia) y cambie el 'Proceso evaluado' de la copia. Registre la tecnología recomendada resultante en la pestaña '4. Dashboard'.</t>
  </si>
  <si>
    <t>Dashboard de Automatización de Procesos</t>
  </si>
  <si>
    <t>Procesos registrados</t>
  </si>
  <si>
    <t>Procesos evaluados (con puntaje)</t>
  </si>
  <si>
    <t>Costo externo total ($/mes)</t>
  </si>
  <si>
    <t>% Totalmente automatizable</t>
  </si>
  <si>
    <t>% Automatizable</t>
  </si>
  <si>
    <t>% Descartar</t>
  </si>
  <si>
    <t>Horas/mes con potencial de automatizarse</t>
  </si>
  <si>
    <t>Personas impactadas (procesos automatizables)</t>
  </si>
  <si>
    <t>Puntaje viabilidad promedio</t>
  </si>
  <si>
    <t>Distribución por clasificación</t>
  </si>
  <si>
    <t>Tecnología recomendada por proceso (registro manual)</t>
  </si>
  <si>
    <t>No. procesos</t>
  </si>
  <si>
    <t>Transcriba aquí la 'Tecnología recomendada' que arroje cada copia de la pestaña '3. Recomendación Tecnológica' (una copia por proceso evaluado).</t>
  </si>
  <si>
    <t>Totalmente automatizable</t>
  </si>
  <si>
    <t>Automatizable</t>
  </si>
  <si>
    <t>Nombre del proceso</t>
  </si>
  <si>
    <t>Tecnología recomendada</t>
  </si>
  <si>
    <t>Descartar</t>
  </si>
  <si>
    <t>Portafolio de procesos (Viabilidad x Horas/mes x Personas)</t>
  </si>
  <si>
    <t>Cada burbuja es un proceso de la pestaña '2. Priorización Automatización': eje X = puntaje de viabilidad, eje Y = horas/mes dedicadas, tamano = personas involucradas.</t>
  </si>
  <si>
    <t>Viabilidad</t>
  </si>
  <si>
    <t>Horas/mes</t>
  </si>
  <si>
    <t>Personas</t>
  </si>
  <si>
    <t>Brecha de viabilidad por proceso (GAP)</t>
  </si>
  <si>
    <t>Brecha = 100% - Puntaje de Viabilidad. Muestra qué tan lejos está cada proceso de ser totalmente automatizable (Top 10 procesos con mayor brecha).</t>
  </si>
  <si>
    <t>Nombre</t>
  </si>
  <si>
    <t>Brecha</t>
  </si>
  <si>
    <t>Rank</t>
  </si>
  <si>
    <t>Top 10 Brechas de Viabilidad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</si>
</sst>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22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.5"/>
      <color rgb="FF7F7F7F"/>
      <name val="Arial"/>
      <charset val="1"/>
    </font>
    <font>
      <b/>
      <sz val="10.5"/>
      <name val="Arial"/>
      <charset val="1"/>
    </font>
    <font>
      <b/>
      <sz val="11"/>
      <name val="Arial"/>
      <charset val="1"/>
    </font>
    <font>
      <b/>
      <sz val="11"/>
      <color rgb="FF1F3864"/>
      <name val="Arial"/>
      <charset val="1"/>
    </font>
    <font>
      <b/>
      <sz val="11"/>
      <color rgb="FFFFFFFF"/>
      <name val="Arial"/>
      <charset val="1"/>
    </font>
    <font>
      <b/>
      <sz val="9.5"/>
      <color rgb="FF1F3864"/>
      <name val="Arial"/>
      <charset val="1"/>
    </font>
    <font>
      <b/>
      <sz val="9.5"/>
      <color rgb="FF7F5A00"/>
      <name val="Arial"/>
      <charset val="1"/>
    </font>
    <font>
      <b/>
      <sz val="10"/>
      <color rgb="FFFFFFFF"/>
      <name val="Arial"/>
      <charset val="1"/>
    </font>
    <font>
      <b/>
      <sz val="10.5"/>
      <color rgb="FFFFFFFF"/>
      <name val="Arial"/>
      <charset val="1"/>
    </font>
    <font>
      <i/>
      <sz val="9.5"/>
      <color rgb="FF1F3864"/>
      <name val="Arial"/>
      <charset val="1"/>
    </font>
    <font>
      <b/>
      <sz val="9.5"/>
      <color rgb="FFFFFFFF"/>
      <name val="Arial"/>
      <charset val="1"/>
    </font>
    <font>
      <sz val="9.5"/>
      <name val="Arial"/>
      <charset val="1"/>
    </font>
    <font>
      <b/>
      <sz val="13"/>
      <color rgb="FF1F3864"/>
      <name val="Arial"/>
      <charset val="1"/>
    </font>
    <font>
      <b/>
      <sz val="15"/>
      <color rgb="FF1F3864"/>
      <name val="Arial"/>
      <charset val="1"/>
    </font>
    <font>
      <b/>
      <sz val="10.5"/>
      <color rgb="FF1F3864"/>
      <name val="Arial"/>
      <charset val="1"/>
    </font>
    <font>
      <sz val="9.5"/>
      <color rgb="FF595959"/>
      <name val="Arial"/>
      <charset val="1"/>
    </font>
    <font>
      <b/>
      <sz val="18"/>
      <color rgb="FF1F3864"/>
      <name val="Arial"/>
      <charset val="1"/>
    </font>
    <font>
      <i/>
      <sz val="9"/>
      <color rgb="FF7F7F7F"/>
      <name val="Arial"/>
      <charset val="1"/>
    </font>
    <font>
      <b/>
      <sz val="10"/>
      <color rgb="FF1F3864"/>
      <name val="Arial"/>
      <charset val="1"/>
    </font>
    <font>
      <u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7E0"/>
      </patternFill>
    </fill>
    <fill>
      <patternFill patternType="solid">
        <fgColor rgb="FFF2F2F2"/>
        <bgColor rgb="FFF9F9F9"/>
      </patternFill>
    </fill>
    <fill>
      <patternFill patternType="solid">
        <fgColor rgb="FFFFD966"/>
        <bgColor rgb="FFFFCC00"/>
      </patternFill>
    </fill>
    <fill>
      <patternFill patternType="solid">
        <fgColor rgb="FFFFF7E0"/>
        <bgColor rgb="FFFFF2CC"/>
      </patternFill>
    </fill>
    <fill>
      <patternFill patternType="solid">
        <fgColor rgb="FFFFFFFF"/>
        <bgColor rgb="FFF9F9F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1" fillId="0" borderId="0"/>
  </cellStyleXfs>
  <cellXfs count="51">
    <xf numFmtId="0" fontId="0" fillId="0" borderId="0" xfId="0"/>
    <xf numFmtId="0" fontId="12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0" borderId="1" xfId="0" applyFont="1" applyBorder="1"/>
    <xf numFmtId="0" fontId="0" fillId="3" borderId="1" xfId="0" applyFill="1" applyBorder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9" fillId="2" borderId="0" xfId="0" applyFont="1" applyFill="1" applyAlignment="1">
      <alignment horizontal="left" vertical="center" wrapText="1"/>
    </xf>
    <xf numFmtId="0" fontId="0" fillId="0" borderId="1" xfId="0" applyBorder="1"/>
    <xf numFmtId="0" fontId="0" fillId="3" borderId="1" xfId="0" applyFill="1" applyBorder="1" applyAlignment="1">
      <alignment horizontal="center"/>
    </xf>
    <xf numFmtId="9" fontId="0" fillId="0" borderId="1" xfId="0" applyNumberFormat="1" applyBorder="1"/>
    <xf numFmtId="164" fontId="0" fillId="0" borderId="1" xfId="0" applyNumberFormat="1" applyBorder="1"/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3" borderId="0" xfId="0" applyFill="1"/>
    <xf numFmtId="165" fontId="0" fillId="0" borderId="1" xfId="0" applyNumberFormat="1" applyBorder="1"/>
    <xf numFmtId="0" fontId="6" fillId="2" borderId="0" xfId="0" applyFont="1" applyFill="1"/>
    <xf numFmtId="165" fontId="0" fillId="0" borderId="1" xfId="0" applyNumberFormat="1" applyBorder="1" applyAlignment="1">
      <alignment vertical="top" wrapText="1"/>
    </xf>
    <xf numFmtId="0" fontId="3" fillId="0" borderId="0" xfId="0" applyFont="1"/>
    <xf numFmtId="9" fontId="0" fillId="0" borderId="0" xfId="0" applyNumberFormat="1"/>
    <xf numFmtId="0" fontId="21" fillId="3" borderId="1" xfId="1" applyFill="1" applyBorder="1"/>
    <xf numFmtId="14" fontId="0" fillId="3" borderId="1" xfId="0" applyNumberFormat="1" applyFill="1" applyBorder="1"/>
    <xf numFmtId="0" fontId="7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13" fillId="7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2" fillId="2" borderId="0" xfId="0" applyFont="1" applyFill="1" applyAlignment="1">
      <alignment horizontal="left" vertical="center" wrapText="1"/>
    </xf>
    <xf numFmtId="0" fontId="1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17" fillId="4" borderId="1" xfId="0" applyFont="1" applyFill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/>
    <xf numFmtId="0" fontId="2" fillId="0" borderId="0" xfId="0" applyFont="1" applyAlignment="1"/>
    <xf numFmtId="0" fontId="0" fillId="0" borderId="2" xfId="0" applyBorder="1" applyAlignment="1"/>
    <xf numFmtId="0" fontId="0" fillId="0" borderId="3" xfId="0" applyBorder="1" applyAlignment="1"/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8" fillId="0" borderId="1" xfId="0" applyFont="1" applyBorder="1" applyAlignment="1"/>
    <xf numFmtId="3" fontId="18" fillId="0" borderId="1" xfId="0" applyNumberFormat="1" applyFont="1" applyBorder="1" applyAlignment="1"/>
    <xf numFmtId="9" fontId="18" fillId="0" borderId="1" xfId="0" applyNumberFormat="1" applyFont="1" applyBorder="1" applyAlignment="1"/>
    <xf numFmtId="166" fontId="18" fillId="0" borderId="1" xfId="0" applyNumberFormat="1" applyFont="1" applyBorder="1" applyAlignment="1"/>
    <xf numFmtId="0" fontId="4" fillId="0" borderId="0" xfId="0" applyFont="1" applyAlignment="1"/>
    <xf numFmtId="0" fontId="19" fillId="0" borderId="0" xfId="0" applyFont="1" applyAlignment="1"/>
    <xf numFmtId="0" fontId="20" fillId="0" borderId="0" xfId="0" applyFont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5A00"/>
      <rgbColor rgb="FF800080"/>
      <rgbColor rgb="FF008080"/>
      <rgbColor rgb="FFBFBFBF"/>
      <rgbColor rgb="FF7F7F7F"/>
      <rgbColor rgb="FF9999FF"/>
      <rgbColor rgb="FFC0504D"/>
      <rgbColor rgb="FFFFF7E0"/>
      <rgbColor rgb="FFF2F2F2"/>
      <rgbColor rgb="FF660066"/>
      <rgbColor rgb="FFFF8080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2CC"/>
      <rgbColor rgb="FF99CCFF"/>
      <rgbColor rgb="FFFF99CC"/>
      <rgbColor rgb="FFCC99FF"/>
      <rgbColor rgb="FFFFD966"/>
      <rgbColor rgb="FF397BCA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Procesos por clasificación de automatización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 Dashboard'!$B$14</c:f>
              <c:strCache>
                <c:ptCount val="1"/>
                <c:pt idx="0">
                  <c:v>No. procesos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 Dashboard'!$A$15:$A$17</c:f>
              <c:strCache>
                <c:ptCount val="3"/>
                <c:pt idx="0">
                  <c:v>Totalmente automatizable</c:v>
                </c:pt>
                <c:pt idx="1">
                  <c:v>Automatizable</c:v>
                </c:pt>
                <c:pt idx="2">
                  <c:v>Descartar</c:v>
                </c:pt>
              </c:strCache>
            </c:strRef>
          </c:cat>
          <c:val>
            <c:numRef>
              <c:f>'4. Dashboard'!$B$15:$B$17</c:f>
              <c:numCache>
                <c:formatCode>General</c:formatCode>
                <c:ptCount val="3"/>
                <c:pt idx="0">
                  <c:v>7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5-4AE5-A4D7-4EB4A59B1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70397"/>
        <c:axId val="76333114"/>
      </c:barChart>
      <c:catAx>
        <c:axId val="296703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6333114"/>
        <c:crosses val="autoZero"/>
        <c:auto val="1"/>
        <c:lblAlgn val="ctr"/>
        <c:lblOffset val="100"/>
        <c:noMultiLvlLbl val="0"/>
      </c:catAx>
      <c:valAx>
        <c:axId val="763331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No. de procesos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967039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Tecnología recomendada (procesos registrados)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'4. Dashboard'!$K$16</c:f>
              <c:strCache>
                <c:ptCount val="1"/>
                <c:pt idx="0">
                  <c:v>No. procesos</c:v>
                </c:pt>
              </c:strCache>
            </c:strRef>
          </c:tx>
          <c:spPr>
            <a:ln w="28575" cap="rnd" cmpd="sng" algn="ctr"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anchor="ctr" anchorCtr="1"/>
              <a:lstStyle/>
              <a:p>
                <a:pPr>
                  <a:defRPr sz="1000" b="0" i="0" strike="noStrike" kern="1200" spc="-1" baseline="0">
                    <a:solidFill>
                      <a:schemeClr val="tx1"/>
                    </a:solidFill>
                    <a:latin typeface="Arial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 Dashboard'!$J$17:$J$24</c:f>
              <c:strCache>
                <c:ptCount val="8"/>
                <c:pt idx="0">
                  <c:v>Inteligencia Artificial</c:v>
                </c:pt>
                <c:pt idx="1">
                  <c:v>RPA</c:v>
                </c:pt>
                <c:pt idx="2">
                  <c:v>ETL</c:v>
                </c:pt>
                <c:pt idx="3">
                  <c:v>ESB</c:v>
                </c:pt>
                <c:pt idx="4">
                  <c:v>Aplicaciones (nueva funcionalidad)</c:v>
                </c:pt>
                <c:pt idx="5">
                  <c:v>BPA / BPMS</c:v>
                </c:pt>
                <c:pt idx="6">
                  <c:v>Estandarizar + Mejora Continua</c:v>
                </c:pt>
                <c:pt idx="7">
                  <c:v>RPA + OCR</c:v>
                </c:pt>
              </c:strCache>
            </c:strRef>
          </c:cat>
          <c:val>
            <c:numRef>
              <c:f>'4. Dashboard'!$K$17:$K$24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2-4739-AB99-3511292E3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37351"/>
        <c:axId val="59063648"/>
      </c:radarChart>
      <c:catAx>
        <c:axId val="74337351"/>
        <c:scaling>
          <c:orientation val="minMax"/>
        </c:scaling>
        <c:delete val="0"/>
        <c:axPos val="b"/>
        <c:majorGridlines>
          <c:spPr>
            <a:ln w="9525" cap="flat" cmpd="sng" algn="ctr"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CO"/>
          </a:p>
        </c:txPr>
        <c:crossAx val="59063648"/>
        <c:crosses val="autoZero"/>
        <c:auto val="1"/>
        <c:lblAlgn val="ctr"/>
        <c:lblOffset val="100"/>
        <c:noMultiLvlLbl val="0"/>
      </c:catAx>
      <c:valAx>
        <c:axId val="59063648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CO"/>
          </a:p>
        </c:txPr>
        <c:crossAx val="7433735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Portafolio de procesos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ubbleChart>
        <c:varyColors val="0"/>
        <c:ser>
          <c:idx val="0"/>
          <c:order val="0"/>
          <c:tx>
            <c:v>Procesos</c:v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'4. Dashboard'!$A$55:$A$69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0.88888888888888884</c:v>
                </c:pt>
                <c:pt idx="3">
                  <c:v>0.88888888888888884</c:v>
                </c:pt>
                <c:pt idx="4">
                  <c:v>1</c:v>
                </c:pt>
                <c:pt idx="5">
                  <c:v>0.77777777777777779</c:v>
                </c:pt>
                <c:pt idx="6">
                  <c:v>0.88888888888888884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'4. Dashboard'!$B$55:$B$69</c:f>
              <c:numCache>
                <c:formatCode>General</c:formatCode>
                <c:ptCount val="15"/>
                <c:pt idx="0">
                  <c:v>60</c:v>
                </c:pt>
                <c:pt idx="1">
                  <c:v>40</c:v>
                </c:pt>
                <c:pt idx="2">
                  <c:v>36</c:v>
                </c:pt>
                <c:pt idx="3">
                  <c:v>13.333333333333334</c:v>
                </c:pt>
                <c:pt idx="4">
                  <c:v>20</c:v>
                </c:pt>
                <c:pt idx="5">
                  <c:v>6</c:v>
                </c:pt>
                <c:pt idx="6">
                  <c:v>20</c:v>
                </c:pt>
                <c:pt idx="7">
                  <c:v>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bubbleSize>
            <c:numRef>
              <c:f>'4. Dashboard'!$C$55:$C$69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560C-4B96-97ED-ADF4B7615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axId val="32274900"/>
        <c:axId val="33186734"/>
      </c:bubbleChart>
      <c:valAx>
        <c:axId val="3227490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Puntaje viabilidad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3186734"/>
        <c:crosses val="autoZero"/>
        <c:crossBetween val="midCat"/>
      </c:valAx>
      <c:valAx>
        <c:axId val="331867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Horas/mes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2274900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Top 10 Brechas de Viabilidad por Proceso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 Dashboard'!$B$98</c:f>
              <c:strCache>
                <c:ptCount val="1"/>
                <c:pt idx="0">
                  <c:v>Brecha</c:v>
                </c:pt>
              </c:strCache>
            </c:strRef>
          </c:tx>
          <c:spPr>
            <a:solidFill>
              <a:srgbClr val="C62828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 Dashboard'!$A$99:$A$108</c:f>
              <c:strCache>
                <c:ptCount val="8"/>
                <c:pt idx="0">
                  <c:v>Programación y seguimiento de actualizaciones de firmware</c:v>
                </c:pt>
                <c:pt idx="1">
                  <c:v>Registro, clasificación y seguimiento de incidentes de conectividad</c:v>
                </c:pt>
                <c:pt idx="2">
                  <c:v>Inventario y actualización de información de switches y AP</c:v>
                </c:pt>
                <c:pt idx="3">
                  <c:v>Gestión de solicitudes de habilitación de puntos de red y VLAN</c:v>
                </c:pt>
                <c:pt idx="4">
                  <c:v>Monitoreo de disponibilidad y alertas de switches y puntos de acceso</c:v>
                </c:pt>
                <c:pt idx="5">
                  <c:v>Generación periódica de reportes de desempeño de red</c:v>
                </c:pt>
                <c:pt idx="6">
                  <c:v>Revisión y consolidación de logs de infraestructura</c:v>
                </c:pt>
                <c:pt idx="7">
                  <c:v>Seguimiento de ocupación estimada de aulas mediante sensores ESP32</c:v>
                </c:pt>
              </c:strCache>
            </c:strRef>
          </c:cat>
          <c:val>
            <c:numRef>
              <c:f>'4. Dashboard'!$B$99:$B$108</c:f>
              <c:numCache>
                <c:formatCode>0%</c:formatCode>
                <c:ptCount val="10"/>
                <c:pt idx="0">
                  <c:v>0.22222222222222221</c:v>
                </c:pt>
                <c:pt idx="1">
                  <c:v>0.11111111111111116</c:v>
                </c:pt>
                <c:pt idx="2">
                  <c:v>0.11111111111111116</c:v>
                </c:pt>
                <c:pt idx="3">
                  <c:v>0.11111111111111116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6-4C19-934D-DD12617BD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85568"/>
        <c:axId val="96265508"/>
      </c:barChart>
      <c:catAx>
        <c:axId val="50885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96265508"/>
        <c:crosses val="autoZero"/>
        <c:auto val="1"/>
        <c:lblAlgn val="ctr"/>
        <c:lblOffset val="100"/>
        <c:noMultiLvlLbl val="0"/>
      </c:catAx>
      <c:valAx>
        <c:axId val="962655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Brecha (100% - Viabilidad)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5088556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18</xdr:row>
      <xdr:rowOff>3820</xdr:rowOff>
    </xdr:from>
    <xdr:to>
      <xdr:col>4</xdr:col>
      <xdr:colOff>863600</xdr:colOff>
      <xdr:row>36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482600</xdr:colOff>
      <xdr:row>26</xdr:row>
      <xdr:rowOff>29220</xdr:rowOff>
    </xdr:from>
    <xdr:to>
      <xdr:col>13</xdr:col>
      <xdr:colOff>177800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48</xdr:row>
      <xdr:rowOff>67320</xdr:rowOff>
    </xdr:from>
    <xdr:to>
      <xdr:col>11</xdr:col>
      <xdr:colOff>401780</xdr:colOff>
      <xdr:row>65</xdr:row>
      <xdr:rowOff>68400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635000</xdr:colOff>
      <xdr:row>77</xdr:row>
      <xdr:rowOff>92720</xdr:rowOff>
    </xdr:from>
    <xdr:to>
      <xdr:col>12</xdr:col>
      <xdr:colOff>243940</xdr:colOff>
      <xdr:row>100</xdr:row>
      <xdr:rowOff>30800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afit.edu.co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zoomScaleNormal="100" workbookViewId="0">
      <selection activeCell="B16" sqref="B16"/>
    </sheetView>
  </sheetViews>
  <sheetFormatPr defaultColWidth="8.5703125" defaultRowHeight="14.45"/>
  <cols>
    <col min="1" max="1" width="28" customWidth="1"/>
    <col min="2" max="2" width="55" customWidth="1"/>
  </cols>
  <sheetData>
    <row r="1" spans="1:2" ht="16.149999999999999" customHeight="1">
      <c r="A1" s="34" t="s">
        <v>0</v>
      </c>
      <c r="B1" s="37"/>
    </row>
    <row r="2" spans="1:2" ht="39.75" customHeight="1">
      <c r="A2" s="33" t="s">
        <v>1</v>
      </c>
      <c r="B2" s="37"/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23" t="s">
        <v>11</v>
      </c>
    </row>
    <row r="9" spans="1:2">
      <c r="A9" s="3" t="s">
        <v>12</v>
      </c>
      <c r="B9" s="4" t="s">
        <v>13</v>
      </c>
    </row>
    <row r="10" spans="1:2">
      <c r="A10" s="3" t="s">
        <v>14</v>
      </c>
      <c r="B10" s="4">
        <v>5</v>
      </c>
    </row>
    <row r="11" spans="1:2">
      <c r="A11" s="3" t="s">
        <v>15</v>
      </c>
      <c r="B11" s="24">
        <v>46310</v>
      </c>
    </row>
  </sheetData>
  <mergeCells count="2">
    <mergeCell ref="A2:B2"/>
    <mergeCell ref="A1:B1"/>
  </mergeCells>
  <hyperlinks>
    <hyperlink ref="B8" r:id="rId1" xr:uid="{00000000-0004-0000-0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showGridLines="0" zoomScaleNormal="100" workbookViewId="0">
      <pane ySplit="3" topLeftCell="A22" activePane="bottomLeft" state="frozen"/>
      <selection pane="bottomLeft" activeCell="C4" sqref="C4"/>
    </sheetView>
  </sheetViews>
  <sheetFormatPr defaultColWidth="8.5703125" defaultRowHeight="14.45"/>
  <cols>
    <col min="1" max="1" width="34" customWidth="1"/>
    <col min="2" max="2" width="38" customWidth="1"/>
    <col min="3" max="3" width="16" customWidth="1"/>
    <col min="4" max="4" width="34" customWidth="1"/>
    <col min="5" max="5" width="20" customWidth="1"/>
  </cols>
  <sheetData>
    <row r="1" spans="1:5">
      <c r="A1" s="5" t="s">
        <v>16</v>
      </c>
      <c r="B1" s="6" t="str">
        <f>'0. Datos Empresa'!$B$4</f>
        <v>UNIVERSIDAD EAFIT</v>
      </c>
    </row>
    <row r="3" spans="1:5" ht="27.95" customHeight="1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</row>
    <row r="4" spans="1:5" ht="29.1" customHeight="1">
      <c r="A4" s="8" t="s">
        <v>22</v>
      </c>
      <c r="B4" s="8" t="s">
        <v>23</v>
      </c>
      <c r="C4" s="9"/>
      <c r="D4" s="9"/>
      <c r="E4" s="9"/>
    </row>
    <row r="5" spans="1:5" ht="29.1" customHeight="1">
      <c r="A5" s="8" t="s">
        <v>22</v>
      </c>
      <c r="B5" s="8" t="s">
        <v>24</v>
      </c>
      <c r="C5" s="9"/>
      <c r="D5" s="9"/>
      <c r="E5" s="9"/>
    </row>
    <row r="6" spans="1:5" ht="29.1" customHeight="1">
      <c r="A6" s="8" t="s">
        <v>25</v>
      </c>
      <c r="B6" s="8" t="s">
        <v>26</v>
      </c>
      <c r="C6" s="9"/>
      <c r="D6" s="9"/>
      <c r="E6" s="9"/>
    </row>
    <row r="7" spans="1:5" ht="29.1" customHeight="1">
      <c r="A7" s="8" t="s">
        <v>25</v>
      </c>
      <c r="B7" s="8" t="s">
        <v>27</v>
      </c>
      <c r="C7" s="9"/>
      <c r="D7" s="9"/>
      <c r="E7" s="9"/>
    </row>
    <row r="8" spans="1:5" ht="29.1" customHeight="1">
      <c r="A8" s="8" t="s">
        <v>28</v>
      </c>
      <c r="B8" s="8" t="s">
        <v>29</v>
      </c>
      <c r="C8" s="9"/>
      <c r="D8" s="9"/>
      <c r="E8" s="9"/>
    </row>
    <row r="9" spans="1:5">
      <c r="A9" s="8" t="s">
        <v>28</v>
      </c>
      <c r="B9" s="8" t="s">
        <v>30</v>
      </c>
      <c r="C9" s="9"/>
      <c r="D9" s="9"/>
      <c r="E9" s="9"/>
    </row>
    <row r="10" spans="1:5">
      <c r="A10" s="8" t="s">
        <v>28</v>
      </c>
      <c r="B10" s="8" t="s">
        <v>31</v>
      </c>
      <c r="C10" s="9"/>
      <c r="D10" s="9"/>
      <c r="E10" s="9"/>
    </row>
    <row r="11" spans="1:5">
      <c r="A11" s="8" t="s">
        <v>32</v>
      </c>
      <c r="B11" s="8" t="s">
        <v>33</v>
      </c>
      <c r="C11" s="9"/>
      <c r="D11" s="9"/>
      <c r="E11" s="9"/>
    </row>
    <row r="12" spans="1:5">
      <c r="A12" s="8" t="s">
        <v>32</v>
      </c>
      <c r="B12" s="8" t="s">
        <v>34</v>
      </c>
      <c r="C12" s="9"/>
      <c r="D12" s="9"/>
      <c r="E12" s="9"/>
    </row>
    <row r="13" spans="1:5" ht="29.1" customHeight="1">
      <c r="A13" s="8" t="s">
        <v>32</v>
      </c>
      <c r="B13" s="8" t="s">
        <v>35</v>
      </c>
      <c r="C13" s="9"/>
      <c r="D13" s="9"/>
      <c r="E13" s="9"/>
    </row>
    <row r="14" spans="1:5">
      <c r="A14" s="8" t="s">
        <v>32</v>
      </c>
      <c r="B14" s="8" t="s">
        <v>36</v>
      </c>
      <c r="C14" s="9"/>
      <c r="D14" s="9"/>
      <c r="E14" s="9"/>
    </row>
    <row r="15" spans="1:5" ht="29.1" customHeight="1">
      <c r="A15" s="8" t="s">
        <v>37</v>
      </c>
      <c r="B15" s="8" t="s">
        <v>38</v>
      </c>
      <c r="C15" s="9"/>
      <c r="D15" s="9"/>
      <c r="E15" s="9"/>
    </row>
    <row r="16" spans="1:5">
      <c r="A16" s="8" t="s">
        <v>37</v>
      </c>
      <c r="B16" s="8" t="s">
        <v>39</v>
      </c>
      <c r="C16" s="9"/>
      <c r="D16" s="9"/>
      <c r="E16" s="9"/>
    </row>
    <row r="17" spans="1:5">
      <c r="A17" s="8" t="s">
        <v>37</v>
      </c>
      <c r="B17" s="8" t="s">
        <v>40</v>
      </c>
      <c r="C17" s="9"/>
      <c r="D17" s="9"/>
      <c r="E17" s="9"/>
    </row>
    <row r="18" spans="1:5">
      <c r="A18" s="8" t="s">
        <v>41</v>
      </c>
      <c r="B18" s="8" t="s">
        <v>42</v>
      </c>
      <c r="C18" s="9"/>
      <c r="D18" s="9"/>
      <c r="E18" s="9"/>
    </row>
    <row r="19" spans="1:5">
      <c r="A19" s="8" t="s">
        <v>41</v>
      </c>
      <c r="B19" s="8" t="s">
        <v>43</v>
      </c>
      <c r="C19" s="9"/>
      <c r="D19" s="9"/>
      <c r="E19" s="9"/>
    </row>
    <row r="20" spans="1:5">
      <c r="A20" s="8" t="s">
        <v>41</v>
      </c>
      <c r="B20" s="8" t="s">
        <v>44</v>
      </c>
      <c r="C20" s="9"/>
      <c r="D20" s="9"/>
      <c r="E20" s="9"/>
    </row>
    <row r="21" spans="1:5" ht="29.1">
      <c r="A21" s="8" t="s">
        <v>45</v>
      </c>
      <c r="B21" s="8" t="s">
        <v>46</v>
      </c>
      <c r="C21" s="9" t="s">
        <v>47</v>
      </c>
      <c r="D21" s="9" t="s">
        <v>48</v>
      </c>
      <c r="E21" s="9" t="s">
        <v>49</v>
      </c>
    </row>
    <row r="22" spans="1:5" ht="29.1">
      <c r="A22" s="8" t="s">
        <v>45</v>
      </c>
      <c r="B22" s="8" t="s">
        <v>50</v>
      </c>
      <c r="C22" s="9" t="s">
        <v>47</v>
      </c>
      <c r="D22" s="9" t="s">
        <v>51</v>
      </c>
      <c r="E22" s="9" t="s">
        <v>52</v>
      </c>
    </row>
    <row r="23" spans="1:5" ht="29.1">
      <c r="A23" s="8" t="s">
        <v>45</v>
      </c>
      <c r="B23" s="8" t="s">
        <v>53</v>
      </c>
      <c r="C23" s="9" t="s">
        <v>47</v>
      </c>
      <c r="D23" s="9" t="s">
        <v>54</v>
      </c>
      <c r="E23" s="9" t="s">
        <v>55</v>
      </c>
    </row>
    <row r="24" spans="1:5">
      <c r="A24" s="8" t="s">
        <v>56</v>
      </c>
      <c r="B24" s="8" t="s">
        <v>57</v>
      </c>
      <c r="C24" s="9"/>
      <c r="D24" s="9"/>
      <c r="E24" s="9"/>
    </row>
    <row r="25" spans="1:5">
      <c r="A25" s="8" t="s">
        <v>56</v>
      </c>
      <c r="B25" s="8" t="s">
        <v>58</v>
      </c>
      <c r="C25" s="9"/>
      <c r="D25" s="9"/>
      <c r="E25" s="9"/>
    </row>
    <row r="26" spans="1:5" ht="29.1" customHeight="1">
      <c r="A26" s="8" t="s">
        <v>56</v>
      </c>
      <c r="B26" s="8" t="s">
        <v>59</v>
      </c>
      <c r="C26" s="9"/>
      <c r="D26" s="9"/>
      <c r="E26" s="9"/>
    </row>
    <row r="27" spans="1:5">
      <c r="A27" s="8" t="s">
        <v>56</v>
      </c>
      <c r="B27" s="8" t="s">
        <v>60</v>
      </c>
      <c r="C27" s="9"/>
      <c r="D27" s="9"/>
      <c r="E27" s="9"/>
    </row>
    <row r="28" spans="1:5">
      <c r="A28" s="8" t="s">
        <v>61</v>
      </c>
      <c r="B28" s="8" t="s">
        <v>62</v>
      </c>
      <c r="C28" s="9"/>
      <c r="D28" s="9"/>
      <c r="E28" s="9"/>
    </row>
    <row r="29" spans="1:5" ht="29.1" customHeight="1">
      <c r="A29" s="8" t="s">
        <v>61</v>
      </c>
      <c r="B29" s="8" t="s">
        <v>63</v>
      </c>
      <c r="C29" s="9" t="s">
        <v>47</v>
      </c>
      <c r="D29" s="9" t="s">
        <v>64</v>
      </c>
      <c r="E29" s="9" t="s">
        <v>65</v>
      </c>
    </row>
    <row r="30" spans="1:5">
      <c r="A30" s="8" t="s">
        <v>66</v>
      </c>
      <c r="B30" s="8" t="s">
        <v>67</v>
      </c>
      <c r="C30" s="9"/>
      <c r="D30" s="9"/>
      <c r="E30" s="9"/>
    </row>
    <row r="31" spans="1:5">
      <c r="A31" s="8" t="s">
        <v>66</v>
      </c>
      <c r="B31" s="8" t="s">
        <v>68</v>
      </c>
      <c r="C31" s="9"/>
      <c r="D31" s="9"/>
      <c r="E31" s="9"/>
    </row>
    <row r="32" spans="1:5" ht="29.1">
      <c r="A32" s="8" t="s">
        <v>69</v>
      </c>
      <c r="B32" s="8" t="s">
        <v>70</v>
      </c>
      <c r="C32" s="9" t="s">
        <v>47</v>
      </c>
      <c r="D32" s="9" t="s">
        <v>71</v>
      </c>
      <c r="E32" s="9" t="s">
        <v>72</v>
      </c>
    </row>
    <row r="33" spans="1:5" ht="29.1" customHeight="1">
      <c r="A33" s="8" t="s">
        <v>69</v>
      </c>
      <c r="B33" s="8" t="s">
        <v>73</v>
      </c>
      <c r="C33" s="9"/>
      <c r="D33" s="9"/>
      <c r="E33" s="9"/>
    </row>
    <row r="34" spans="1:5" ht="29.1">
      <c r="A34" s="8" t="s">
        <v>74</v>
      </c>
      <c r="B34" s="8" t="s">
        <v>75</v>
      </c>
      <c r="C34" s="9" t="s">
        <v>47</v>
      </c>
      <c r="D34" s="9" t="s">
        <v>76</v>
      </c>
      <c r="E34" s="9" t="s">
        <v>52</v>
      </c>
    </row>
    <row r="35" spans="1:5" ht="43.5">
      <c r="A35" s="8" t="s">
        <v>74</v>
      </c>
      <c r="B35" s="8" t="s">
        <v>77</v>
      </c>
      <c r="C35" s="9" t="s">
        <v>47</v>
      </c>
      <c r="D35" s="9" t="s">
        <v>78</v>
      </c>
      <c r="E35" s="9" t="s">
        <v>52</v>
      </c>
    </row>
    <row r="37" spans="1:5">
      <c r="A37" s="38" t="s">
        <v>79</v>
      </c>
      <c r="B37" s="37"/>
      <c r="C37" s="37"/>
      <c r="D37" s="37"/>
      <c r="E37" s="37"/>
    </row>
  </sheetData>
  <mergeCells count="1">
    <mergeCell ref="A37:E37"/>
  </mergeCells>
  <dataValidations count="1">
    <dataValidation type="list" allowBlank="1" sqref="C4:C35" xr:uid="{00000000-0002-0000-0100-000000000000}">
      <formula1>"Sí,No,En evaluación"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"/>
  <sheetViews>
    <sheetView showGridLines="0" tabSelected="1" zoomScaleNormal="100" workbookViewId="0">
      <pane xSplit="2" ySplit="3" topLeftCell="C4" activePane="bottomRight" state="frozen"/>
      <selection pane="bottomRight" activeCell="C1" sqref="C1:C1048576"/>
      <selection pane="bottomLeft" activeCell="A4" sqref="A4"/>
      <selection pane="topRight" activeCell="C1" sqref="C1"/>
    </sheetView>
  </sheetViews>
  <sheetFormatPr defaultColWidth="8.5703125" defaultRowHeight="14.45"/>
  <cols>
    <col min="1" max="1" width="10" customWidth="1"/>
    <col min="2" max="2" width="71.140625" customWidth="1"/>
    <col min="3" max="11" width="7" customWidth="1"/>
    <col min="12" max="12" width="14" customWidth="1"/>
    <col min="13" max="13" width="20" customWidth="1"/>
    <col min="14" max="14" width="14" customWidth="1"/>
    <col min="15" max="15" width="16" customWidth="1"/>
    <col min="16" max="17" width="14" customWidth="1"/>
    <col min="18" max="18" width="16" customWidth="1"/>
  </cols>
  <sheetData>
    <row r="1" spans="1:18">
      <c r="A1" s="5" t="s">
        <v>80</v>
      </c>
      <c r="B1" s="6" t="str">
        <f>'0. Datos Empresa'!$B$4</f>
        <v>UNIVERSIDAD EAFIT</v>
      </c>
    </row>
    <row r="2" spans="1:18" ht="18" customHeight="1">
      <c r="A2" s="25" t="s">
        <v>81</v>
      </c>
      <c r="B2" s="39"/>
      <c r="C2" s="29" t="s">
        <v>82</v>
      </c>
      <c r="D2" s="40"/>
      <c r="E2" s="40"/>
      <c r="F2" s="40"/>
      <c r="G2" s="40"/>
      <c r="H2" s="40"/>
      <c r="I2" s="40"/>
      <c r="J2" s="40"/>
      <c r="K2" s="39"/>
      <c r="L2" s="25" t="s">
        <v>83</v>
      </c>
      <c r="M2" s="39"/>
      <c r="N2" s="25" t="s">
        <v>84</v>
      </c>
      <c r="O2" s="40"/>
      <c r="P2" s="40"/>
      <c r="Q2" s="40"/>
      <c r="R2" s="39"/>
    </row>
    <row r="3" spans="1:18" ht="26.1" customHeight="1">
      <c r="A3" s="10" t="s">
        <v>85</v>
      </c>
      <c r="B3" s="10" t="s">
        <v>86</v>
      </c>
      <c r="C3" s="10" t="s">
        <v>87</v>
      </c>
      <c r="D3" s="10" t="s">
        <v>88</v>
      </c>
      <c r="E3" s="10" t="s">
        <v>89</v>
      </c>
      <c r="F3" s="10" t="s">
        <v>90</v>
      </c>
      <c r="G3" s="10" t="s">
        <v>91</v>
      </c>
      <c r="H3" s="10" t="s">
        <v>92</v>
      </c>
      <c r="I3" s="10" t="s">
        <v>93</v>
      </c>
      <c r="J3" s="10" t="s">
        <v>94</v>
      </c>
      <c r="K3" s="10" t="s">
        <v>95</v>
      </c>
      <c r="L3" s="10" t="s">
        <v>96</v>
      </c>
      <c r="M3" s="10" t="s">
        <v>97</v>
      </c>
      <c r="N3" s="10" t="s">
        <v>98</v>
      </c>
      <c r="O3" s="10" t="s">
        <v>99</v>
      </c>
      <c r="P3" s="10" t="s">
        <v>100</v>
      </c>
      <c r="Q3" s="10" t="s">
        <v>101</v>
      </c>
      <c r="R3" s="10" t="s">
        <v>102</v>
      </c>
    </row>
    <row r="4" spans="1:18">
      <c r="A4" s="11" t="s">
        <v>103</v>
      </c>
      <c r="B4" s="4" t="s">
        <v>104</v>
      </c>
      <c r="C4" s="12" t="s">
        <v>47</v>
      </c>
      <c r="D4" s="12" t="s">
        <v>47</v>
      </c>
      <c r="E4" s="12" t="s">
        <v>47</v>
      </c>
      <c r="F4" s="12" t="s">
        <v>47</v>
      </c>
      <c r="G4" s="12" t="s">
        <v>47</v>
      </c>
      <c r="H4" s="12" t="s">
        <v>47</v>
      </c>
      <c r="I4" s="12" t="s">
        <v>47</v>
      </c>
      <c r="J4" s="12" t="s">
        <v>47</v>
      </c>
      <c r="K4" s="12" t="s">
        <v>47</v>
      </c>
      <c r="L4" s="13">
        <f t="shared" ref="L4:L18" si="0">IF(COUNTA(C4:K4)=0,"",COUNTIF(C4:K4,"Sí")/9)</f>
        <v>1</v>
      </c>
      <c r="M4" s="11" t="str">
        <f t="shared" ref="M4:M18" si="1">IF(L4="","",IF(L4&gt;=0.86,"Totalmente automatizable",IF(L4&gt;=0.71,"Automatizable","Descartar")))</f>
        <v>Totalmente automatizable</v>
      </c>
      <c r="N4" s="4">
        <v>5</v>
      </c>
      <c r="O4" s="4">
        <v>720</v>
      </c>
      <c r="P4" s="14">
        <f t="shared" ref="P4:P18" si="2">IF(OR(N4="",O4=""),"",N4*O4/60)</f>
        <v>60</v>
      </c>
      <c r="Q4" s="4">
        <v>3</v>
      </c>
      <c r="R4" s="4">
        <v>0</v>
      </c>
    </row>
    <row r="5" spans="1:18">
      <c r="A5" s="11" t="s">
        <v>105</v>
      </c>
      <c r="B5" s="4" t="s">
        <v>106</v>
      </c>
      <c r="C5" s="12" t="s">
        <v>47</v>
      </c>
      <c r="D5" s="12" t="s">
        <v>47</v>
      </c>
      <c r="E5" s="12" t="s">
        <v>47</v>
      </c>
      <c r="F5" s="12" t="s">
        <v>47</v>
      </c>
      <c r="G5" s="12" t="s">
        <v>47</v>
      </c>
      <c r="H5" s="12" t="s">
        <v>47</v>
      </c>
      <c r="I5" s="12" t="s">
        <v>47</v>
      </c>
      <c r="J5" s="12" t="s">
        <v>47</v>
      </c>
      <c r="K5" s="12" t="s">
        <v>47</v>
      </c>
      <c r="L5" s="13">
        <f t="shared" si="0"/>
        <v>1</v>
      </c>
      <c r="M5" s="11" t="str">
        <f t="shared" si="1"/>
        <v>Totalmente automatizable</v>
      </c>
      <c r="N5" s="4">
        <v>20</v>
      </c>
      <c r="O5" s="4">
        <v>120</v>
      </c>
      <c r="P5" s="14">
        <f t="shared" si="2"/>
        <v>40</v>
      </c>
      <c r="Q5" s="4">
        <v>2</v>
      </c>
      <c r="R5" s="4">
        <v>0</v>
      </c>
    </row>
    <row r="6" spans="1:18">
      <c r="A6" s="11" t="s">
        <v>107</v>
      </c>
      <c r="B6" s="4" t="s">
        <v>108</v>
      </c>
      <c r="C6" s="12" t="s">
        <v>47</v>
      </c>
      <c r="D6" s="12" t="s">
        <v>47</v>
      </c>
      <c r="E6" s="12" t="s">
        <v>47</v>
      </c>
      <c r="F6" s="12" t="s">
        <v>47</v>
      </c>
      <c r="G6" s="12" t="s">
        <v>47</v>
      </c>
      <c r="H6" s="12" t="s">
        <v>47</v>
      </c>
      <c r="I6" s="12" t="s">
        <v>47</v>
      </c>
      <c r="J6" s="12" t="s">
        <v>47</v>
      </c>
      <c r="K6" s="12" t="s">
        <v>109</v>
      </c>
      <c r="L6" s="13">
        <f t="shared" si="0"/>
        <v>0.88888888888888884</v>
      </c>
      <c r="M6" s="11" t="str">
        <f t="shared" si="1"/>
        <v>Totalmente automatizable</v>
      </c>
      <c r="N6" s="4">
        <v>12</v>
      </c>
      <c r="O6" s="4">
        <v>180</v>
      </c>
      <c r="P6" s="14">
        <f t="shared" si="2"/>
        <v>36</v>
      </c>
      <c r="Q6" s="4">
        <v>4</v>
      </c>
      <c r="R6" s="4">
        <v>0</v>
      </c>
    </row>
    <row r="7" spans="1:18">
      <c r="A7" s="11" t="s">
        <v>110</v>
      </c>
      <c r="B7" s="4" t="s">
        <v>111</v>
      </c>
      <c r="C7" s="12" t="s">
        <v>47</v>
      </c>
      <c r="D7" s="12" t="s">
        <v>47</v>
      </c>
      <c r="E7" s="12" t="s">
        <v>47</v>
      </c>
      <c r="F7" s="12" t="s">
        <v>47</v>
      </c>
      <c r="G7" s="12" t="s">
        <v>47</v>
      </c>
      <c r="H7" s="12" t="s">
        <v>109</v>
      </c>
      <c r="I7" s="12" t="s">
        <v>47</v>
      </c>
      <c r="J7" s="12" t="s">
        <v>47</v>
      </c>
      <c r="K7" s="12" t="s">
        <v>47</v>
      </c>
      <c r="L7" s="13">
        <f t="shared" si="0"/>
        <v>0.88888888888888884</v>
      </c>
      <c r="M7" s="11" t="str">
        <f t="shared" si="1"/>
        <v>Totalmente automatizable</v>
      </c>
      <c r="N7" s="4">
        <v>8</v>
      </c>
      <c r="O7" s="4">
        <v>100</v>
      </c>
      <c r="P7" s="14">
        <f t="shared" si="2"/>
        <v>13.333333333333334</v>
      </c>
      <c r="Q7" s="4">
        <v>2</v>
      </c>
      <c r="R7" s="4">
        <v>0</v>
      </c>
    </row>
    <row r="8" spans="1:18">
      <c r="A8" s="11" t="s">
        <v>112</v>
      </c>
      <c r="B8" s="4" t="s">
        <v>113</v>
      </c>
      <c r="C8" s="12" t="s">
        <v>47</v>
      </c>
      <c r="D8" s="12" t="s">
        <v>47</v>
      </c>
      <c r="E8" s="12" t="s">
        <v>47</v>
      </c>
      <c r="F8" s="12" t="s">
        <v>47</v>
      </c>
      <c r="G8" s="12" t="s">
        <v>47</v>
      </c>
      <c r="H8" s="12" t="s">
        <v>47</v>
      </c>
      <c r="I8" s="12" t="s">
        <v>47</v>
      </c>
      <c r="J8" s="12" t="s">
        <v>47</v>
      </c>
      <c r="K8" s="12" t="s">
        <v>47</v>
      </c>
      <c r="L8" s="13">
        <f t="shared" si="0"/>
        <v>1</v>
      </c>
      <c r="M8" s="11" t="str">
        <f t="shared" si="1"/>
        <v>Totalmente automatizable</v>
      </c>
      <c r="N8" s="4">
        <v>10</v>
      </c>
      <c r="O8" s="4">
        <v>120</v>
      </c>
      <c r="P8" s="14">
        <f t="shared" si="2"/>
        <v>20</v>
      </c>
      <c r="Q8" s="4">
        <v>2</v>
      </c>
      <c r="R8" s="4">
        <v>0</v>
      </c>
    </row>
    <row r="9" spans="1:18">
      <c r="A9" s="11" t="s">
        <v>114</v>
      </c>
      <c r="B9" s="4" t="s">
        <v>115</v>
      </c>
      <c r="C9" s="12" t="s">
        <v>47</v>
      </c>
      <c r="D9" s="12" t="s">
        <v>47</v>
      </c>
      <c r="E9" s="12" t="s">
        <v>47</v>
      </c>
      <c r="F9" s="12" t="s">
        <v>47</v>
      </c>
      <c r="G9" s="12" t="s">
        <v>47</v>
      </c>
      <c r="H9" s="12" t="s">
        <v>47</v>
      </c>
      <c r="I9" s="12" t="s">
        <v>109</v>
      </c>
      <c r="J9" s="12" t="s">
        <v>47</v>
      </c>
      <c r="K9" s="12" t="s">
        <v>109</v>
      </c>
      <c r="L9" s="13">
        <f t="shared" si="0"/>
        <v>0.77777777777777779</v>
      </c>
      <c r="M9" s="11" t="str">
        <f t="shared" si="1"/>
        <v>Automatizable</v>
      </c>
      <c r="N9" s="4">
        <v>30</v>
      </c>
      <c r="O9" s="4">
        <v>12</v>
      </c>
      <c r="P9" s="14">
        <f t="shared" si="2"/>
        <v>6</v>
      </c>
      <c r="Q9" s="4">
        <v>2</v>
      </c>
      <c r="R9" s="4">
        <v>0</v>
      </c>
    </row>
    <row r="10" spans="1:18">
      <c r="A10" s="11" t="s">
        <v>116</v>
      </c>
      <c r="B10" s="4" t="s">
        <v>117</v>
      </c>
      <c r="C10" s="12" t="s">
        <v>47</v>
      </c>
      <c r="D10" s="12" t="s">
        <v>47</v>
      </c>
      <c r="E10" s="12" t="s">
        <v>47</v>
      </c>
      <c r="F10" s="12" t="s">
        <v>47</v>
      </c>
      <c r="G10" s="12" t="s">
        <v>47</v>
      </c>
      <c r="H10" s="12" t="s">
        <v>47</v>
      </c>
      <c r="I10" s="12" t="s">
        <v>47</v>
      </c>
      <c r="J10" s="12" t="s">
        <v>47</v>
      </c>
      <c r="K10" s="12" t="s">
        <v>109</v>
      </c>
      <c r="L10" s="13">
        <f t="shared" si="0"/>
        <v>0.88888888888888884</v>
      </c>
      <c r="M10" s="11" t="str">
        <f t="shared" si="1"/>
        <v>Totalmente automatizable</v>
      </c>
      <c r="N10" s="4">
        <v>15</v>
      </c>
      <c r="O10" s="4">
        <v>80</v>
      </c>
      <c r="P10" s="14">
        <f t="shared" si="2"/>
        <v>20</v>
      </c>
      <c r="Q10" s="4">
        <v>3</v>
      </c>
      <c r="R10" s="4">
        <v>0</v>
      </c>
    </row>
    <row r="11" spans="1:18">
      <c r="A11" s="11" t="s">
        <v>118</v>
      </c>
      <c r="B11" s="4" t="s">
        <v>119</v>
      </c>
      <c r="C11" s="12" t="s">
        <v>47</v>
      </c>
      <c r="D11" s="12" t="s">
        <v>47</v>
      </c>
      <c r="E11" s="12" t="s">
        <v>47</v>
      </c>
      <c r="F11" s="12" t="s">
        <v>47</v>
      </c>
      <c r="G11" s="12" t="s">
        <v>47</v>
      </c>
      <c r="H11" s="12" t="s">
        <v>47</v>
      </c>
      <c r="I11" s="12" t="s">
        <v>47</v>
      </c>
      <c r="J11" s="12" t="s">
        <v>47</v>
      </c>
      <c r="K11" s="12" t="s">
        <v>47</v>
      </c>
      <c r="L11" s="13">
        <f t="shared" si="0"/>
        <v>1</v>
      </c>
      <c r="M11" s="11" t="str">
        <f t="shared" si="1"/>
        <v>Totalmente automatizable</v>
      </c>
      <c r="N11" s="4">
        <v>3</v>
      </c>
      <c r="O11" s="4">
        <v>900</v>
      </c>
      <c r="P11" s="14">
        <f t="shared" si="2"/>
        <v>45</v>
      </c>
      <c r="Q11" s="4">
        <v>1</v>
      </c>
      <c r="R11" s="4">
        <v>0</v>
      </c>
    </row>
    <row r="12" spans="1:18">
      <c r="A12" s="11" t="s">
        <v>120</v>
      </c>
      <c r="B12" s="4"/>
      <c r="C12" s="12"/>
      <c r="D12" s="12"/>
      <c r="E12" s="12"/>
      <c r="F12" s="12"/>
      <c r="G12" s="12"/>
      <c r="H12" s="12"/>
      <c r="I12" s="12"/>
      <c r="J12" s="12"/>
      <c r="K12" s="12"/>
      <c r="L12" s="13" t="str">
        <f t="shared" si="0"/>
        <v/>
      </c>
      <c r="M12" s="11" t="str">
        <f t="shared" si="1"/>
        <v/>
      </c>
      <c r="N12" s="4"/>
      <c r="O12" s="4"/>
      <c r="P12" s="14" t="str">
        <f t="shared" si="2"/>
        <v/>
      </c>
      <c r="Q12" s="4"/>
      <c r="R12" s="4"/>
    </row>
    <row r="13" spans="1:18">
      <c r="A13" s="11" t="s">
        <v>121</v>
      </c>
      <c r="B13" s="4"/>
      <c r="C13" s="12"/>
      <c r="D13" s="12"/>
      <c r="E13" s="12"/>
      <c r="F13" s="12"/>
      <c r="G13" s="12"/>
      <c r="H13" s="12"/>
      <c r="I13" s="12"/>
      <c r="J13" s="12"/>
      <c r="K13" s="12"/>
      <c r="L13" s="13" t="str">
        <f t="shared" si="0"/>
        <v/>
      </c>
      <c r="M13" s="11" t="str">
        <f t="shared" si="1"/>
        <v/>
      </c>
      <c r="N13" s="4"/>
      <c r="O13" s="4"/>
      <c r="P13" s="14" t="str">
        <f t="shared" si="2"/>
        <v/>
      </c>
      <c r="Q13" s="4"/>
      <c r="R13" s="4"/>
    </row>
    <row r="14" spans="1:18">
      <c r="A14" s="11" t="s">
        <v>122</v>
      </c>
      <c r="B14" s="4"/>
      <c r="C14" s="12"/>
      <c r="D14" s="12"/>
      <c r="E14" s="12"/>
      <c r="F14" s="12"/>
      <c r="G14" s="12"/>
      <c r="H14" s="12"/>
      <c r="I14" s="12"/>
      <c r="J14" s="12"/>
      <c r="K14" s="12"/>
      <c r="L14" s="13" t="str">
        <f t="shared" si="0"/>
        <v/>
      </c>
      <c r="M14" s="11" t="str">
        <f t="shared" si="1"/>
        <v/>
      </c>
      <c r="N14" s="4"/>
      <c r="O14" s="4"/>
      <c r="P14" s="14" t="str">
        <f t="shared" si="2"/>
        <v/>
      </c>
      <c r="Q14" s="4"/>
      <c r="R14" s="4"/>
    </row>
    <row r="15" spans="1:18">
      <c r="A15" s="11" t="s">
        <v>123</v>
      </c>
      <c r="B15" s="4"/>
      <c r="C15" s="12"/>
      <c r="D15" s="12"/>
      <c r="E15" s="12"/>
      <c r="F15" s="12"/>
      <c r="G15" s="12"/>
      <c r="H15" s="12"/>
      <c r="I15" s="12"/>
      <c r="J15" s="12"/>
      <c r="K15" s="12"/>
      <c r="L15" s="13" t="str">
        <f t="shared" si="0"/>
        <v/>
      </c>
      <c r="M15" s="11" t="str">
        <f t="shared" si="1"/>
        <v/>
      </c>
      <c r="N15" s="4"/>
      <c r="O15" s="4"/>
      <c r="P15" s="14" t="str">
        <f t="shared" si="2"/>
        <v/>
      </c>
      <c r="Q15" s="4"/>
      <c r="R15" s="4"/>
    </row>
    <row r="16" spans="1:18">
      <c r="A16" s="11" t="s">
        <v>124</v>
      </c>
      <c r="B16" s="4"/>
      <c r="C16" s="12"/>
      <c r="D16" s="12"/>
      <c r="E16" s="12"/>
      <c r="F16" s="12"/>
      <c r="G16" s="12"/>
      <c r="H16" s="12"/>
      <c r="I16" s="12"/>
      <c r="J16" s="12"/>
      <c r="K16" s="12"/>
      <c r="L16" s="13" t="str">
        <f t="shared" si="0"/>
        <v/>
      </c>
      <c r="M16" s="11" t="str">
        <f t="shared" si="1"/>
        <v/>
      </c>
      <c r="N16" s="4"/>
      <c r="O16" s="4"/>
      <c r="P16" s="14" t="str">
        <f t="shared" si="2"/>
        <v/>
      </c>
      <c r="Q16" s="4"/>
      <c r="R16" s="4"/>
    </row>
    <row r="17" spans="1:18">
      <c r="A17" s="11" t="s">
        <v>125</v>
      </c>
      <c r="B17" s="4"/>
      <c r="C17" s="12"/>
      <c r="D17" s="12"/>
      <c r="E17" s="12"/>
      <c r="F17" s="12"/>
      <c r="G17" s="12"/>
      <c r="H17" s="12"/>
      <c r="I17" s="12"/>
      <c r="J17" s="12"/>
      <c r="K17" s="12"/>
      <c r="L17" s="13" t="str">
        <f t="shared" si="0"/>
        <v/>
      </c>
      <c r="M17" s="11" t="str">
        <f t="shared" si="1"/>
        <v/>
      </c>
      <c r="N17" s="4"/>
      <c r="O17" s="4"/>
      <c r="P17" s="14" t="str">
        <f t="shared" si="2"/>
        <v/>
      </c>
      <c r="Q17" s="4"/>
      <c r="R17" s="4"/>
    </row>
    <row r="18" spans="1:18">
      <c r="A18" s="11" t="s">
        <v>126</v>
      </c>
      <c r="B18" s="4"/>
      <c r="C18" s="12"/>
      <c r="D18" s="12"/>
      <c r="E18" s="12"/>
      <c r="F18" s="12"/>
      <c r="G18" s="12"/>
      <c r="H18" s="12"/>
      <c r="I18" s="12"/>
      <c r="J18" s="12"/>
      <c r="K18" s="12"/>
      <c r="L18" s="13" t="str">
        <f t="shared" si="0"/>
        <v/>
      </c>
      <c r="M18" s="11" t="str">
        <f t="shared" si="1"/>
        <v/>
      </c>
      <c r="N18" s="4"/>
      <c r="O18" s="4"/>
      <c r="P18" s="14" t="str">
        <f t="shared" si="2"/>
        <v/>
      </c>
      <c r="Q18" s="4"/>
      <c r="R18" s="4"/>
    </row>
    <row r="20" spans="1:18" ht="32.1" customHeight="1">
      <c r="B20" s="27" t="s">
        <v>127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</row>
    <row r="21" spans="1:18" ht="31.5" customHeight="1">
      <c r="A21" s="30" t="s">
        <v>128</v>
      </c>
      <c r="B21" s="37"/>
      <c r="C21" s="37"/>
      <c r="D21" s="37"/>
      <c r="E21" s="37"/>
      <c r="F21" s="37"/>
      <c r="G21" s="37"/>
      <c r="H21" s="37"/>
    </row>
    <row r="22" spans="1:18" ht="42" customHeight="1">
      <c r="A22" s="32" t="s">
        <v>129</v>
      </c>
      <c r="B22" s="37"/>
      <c r="C22" s="37"/>
      <c r="D22" s="37"/>
      <c r="E22" s="37"/>
      <c r="F22" s="37"/>
      <c r="G22" s="37"/>
      <c r="H22" s="37"/>
    </row>
    <row r="23" spans="1:18" ht="15" customHeight="1">
      <c r="A23" s="1" t="s">
        <v>130</v>
      </c>
      <c r="B23" s="31" t="s">
        <v>131</v>
      </c>
      <c r="C23" s="37"/>
      <c r="D23" s="37"/>
      <c r="E23" s="37"/>
      <c r="F23" s="37"/>
      <c r="G23" s="37"/>
      <c r="H23" s="37"/>
    </row>
    <row r="24" spans="1:18" ht="23.85" customHeight="1">
      <c r="A24" s="15" t="s">
        <v>87</v>
      </c>
      <c r="B24" s="26" t="s">
        <v>132</v>
      </c>
      <c r="C24" s="40"/>
      <c r="D24" s="40"/>
      <c r="E24" s="40"/>
      <c r="F24" s="40"/>
      <c r="G24" s="40"/>
      <c r="H24" s="39"/>
    </row>
    <row r="25" spans="1:18" ht="23.85" customHeight="1">
      <c r="A25" s="16" t="s">
        <v>88</v>
      </c>
      <c r="B25" s="28" t="s">
        <v>133</v>
      </c>
      <c r="C25" s="40"/>
      <c r="D25" s="40"/>
      <c r="E25" s="40"/>
      <c r="F25" s="40"/>
      <c r="G25" s="40"/>
      <c r="H25" s="39"/>
    </row>
    <row r="26" spans="1:18" ht="15" customHeight="1">
      <c r="A26" s="15" t="s">
        <v>89</v>
      </c>
      <c r="B26" s="26" t="s">
        <v>134</v>
      </c>
      <c r="C26" s="40"/>
      <c r="D26" s="40"/>
      <c r="E26" s="40"/>
      <c r="F26" s="40"/>
      <c r="G26" s="40"/>
      <c r="H26" s="39"/>
    </row>
    <row r="27" spans="1:18" ht="15" customHeight="1">
      <c r="A27" s="16" t="s">
        <v>90</v>
      </c>
      <c r="B27" s="28" t="s">
        <v>135</v>
      </c>
      <c r="C27" s="40"/>
      <c r="D27" s="40"/>
      <c r="E27" s="40"/>
      <c r="F27" s="40"/>
      <c r="G27" s="40"/>
      <c r="H27" s="39"/>
    </row>
    <row r="28" spans="1:18" ht="23.85" customHeight="1">
      <c r="A28" s="15" t="s">
        <v>91</v>
      </c>
      <c r="B28" s="26" t="s">
        <v>136</v>
      </c>
      <c r="C28" s="40"/>
      <c r="D28" s="40"/>
      <c r="E28" s="40"/>
      <c r="F28" s="40"/>
      <c r="G28" s="40"/>
      <c r="H28" s="39"/>
    </row>
    <row r="29" spans="1:18" ht="15" customHeight="1">
      <c r="A29" s="16" t="s">
        <v>92</v>
      </c>
      <c r="B29" s="28" t="s">
        <v>137</v>
      </c>
      <c r="C29" s="40"/>
      <c r="D29" s="40"/>
      <c r="E29" s="40"/>
      <c r="F29" s="40"/>
      <c r="G29" s="40"/>
      <c r="H29" s="39"/>
    </row>
    <row r="30" spans="1:18" ht="23.85" customHeight="1">
      <c r="A30" s="15" t="s">
        <v>93</v>
      </c>
      <c r="B30" s="26" t="s">
        <v>138</v>
      </c>
      <c r="C30" s="40"/>
      <c r="D30" s="40"/>
      <c r="E30" s="40"/>
      <c r="F30" s="40"/>
      <c r="G30" s="40"/>
      <c r="H30" s="39"/>
    </row>
    <row r="31" spans="1:18" ht="15" customHeight="1">
      <c r="A31" s="16" t="s">
        <v>94</v>
      </c>
      <c r="B31" s="28" t="s">
        <v>139</v>
      </c>
      <c r="C31" s="40"/>
      <c r="D31" s="40"/>
      <c r="E31" s="40"/>
      <c r="F31" s="40"/>
      <c r="G31" s="40"/>
      <c r="H31" s="39"/>
    </row>
    <row r="32" spans="1:18" ht="23.85" customHeight="1">
      <c r="A32" s="15" t="s">
        <v>95</v>
      </c>
      <c r="B32" s="26" t="s">
        <v>140</v>
      </c>
      <c r="C32" s="40"/>
      <c r="D32" s="40"/>
      <c r="E32" s="40"/>
      <c r="F32" s="40"/>
      <c r="G32" s="40"/>
      <c r="H32" s="39"/>
    </row>
    <row r="34" spans="1:8">
      <c r="A34" s="38" t="s">
        <v>141</v>
      </c>
      <c r="B34" s="37"/>
      <c r="C34" s="37"/>
      <c r="D34" s="37"/>
      <c r="E34" s="37"/>
      <c r="F34" s="37"/>
      <c r="G34" s="37"/>
      <c r="H34" s="37"/>
    </row>
  </sheetData>
  <mergeCells count="18">
    <mergeCell ref="A22:H22"/>
    <mergeCell ref="B31:H31"/>
    <mergeCell ref="A34:H34"/>
    <mergeCell ref="N2:R2"/>
    <mergeCell ref="B24:H24"/>
    <mergeCell ref="B30:H30"/>
    <mergeCell ref="B20:R20"/>
    <mergeCell ref="B29:H29"/>
    <mergeCell ref="B25:H25"/>
    <mergeCell ref="B28:H28"/>
    <mergeCell ref="L2:M2"/>
    <mergeCell ref="C2:K2"/>
    <mergeCell ref="B32:H32"/>
    <mergeCell ref="A21:H21"/>
    <mergeCell ref="A2:B2"/>
    <mergeCell ref="B26:H26"/>
    <mergeCell ref="B27:H27"/>
    <mergeCell ref="B23:H23"/>
  </mergeCells>
  <dataValidations count="1">
    <dataValidation type="list" allowBlank="1" sqref="C4:K18" xr:uid="{00000000-0002-0000-0200-000000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showGridLines="0" topLeftCell="A6" zoomScaleNormal="100" workbookViewId="0">
      <selection sqref="A1:E1"/>
    </sheetView>
  </sheetViews>
  <sheetFormatPr defaultColWidth="8.5703125" defaultRowHeight="14.45"/>
  <cols>
    <col min="1" max="1" width="34" customWidth="1"/>
    <col min="2" max="2" width="50" customWidth="1"/>
    <col min="3" max="3" width="12" customWidth="1"/>
    <col min="4" max="4" width="10" customWidth="1"/>
    <col min="5" max="5" width="12" customWidth="1"/>
  </cols>
  <sheetData>
    <row r="1" spans="1:5" ht="16.5" customHeight="1">
      <c r="A1" s="41" t="s">
        <v>142</v>
      </c>
      <c r="B1" s="37"/>
      <c r="C1" s="37"/>
      <c r="D1" s="37"/>
      <c r="E1" s="37"/>
    </row>
    <row r="2" spans="1:5">
      <c r="A2" s="5" t="s">
        <v>143</v>
      </c>
      <c r="B2" s="17" t="s">
        <v>103</v>
      </c>
      <c r="C2" s="5" t="s">
        <v>144</v>
      </c>
      <c r="D2" s="37" t="str">
        <f>IFERROR(INDEX('2. Priorización Automatización'!$B$4:$B$18,MATCH(B2,'2. Priorización Automatización'!$A$4:$A$18,0)),"")</f>
        <v>Monitoreo de disponibilidad y alertas de switches y puntos de acceso</v>
      </c>
      <c r="E2" s="37"/>
    </row>
    <row r="3" spans="1:5">
      <c r="A3" s="2" t="s">
        <v>145</v>
      </c>
      <c r="B3" s="2" t="str">
        <f>'0. Datos Empresa'!$B$4</f>
        <v>UNIVERSIDAD EAFIT</v>
      </c>
    </row>
    <row r="5" spans="1:5">
      <c r="A5" s="5" t="s">
        <v>146</v>
      </c>
      <c r="D5" s="5" t="s">
        <v>147</v>
      </c>
      <c r="E5" s="6" t="str">
        <f>IFERROR(INDEX(A7:A14,MATCH(MAX(B7:B14),B7:B14,0)),"")</f>
        <v>Estandarizar + Mejora Continua</v>
      </c>
    </row>
    <row r="6" spans="1:5">
      <c r="A6" s="5" t="s">
        <v>148</v>
      </c>
      <c r="B6" s="5" t="s">
        <v>149</v>
      </c>
    </row>
    <row r="7" spans="1:5">
      <c r="A7" s="11" t="s">
        <v>150</v>
      </c>
      <c r="B7" s="18">
        <f>SUM(E18:E22)</f>
        <v>0</v>
      </c>
    </row>
    <row r="8" spans="1:5">
      <c r="A8" s="11" t="s">
        <v>151</v>
      </c>
      <c r="B8" s="18">
        <f>SUM(E23:E31)</f>
        <v>0</v>
      </c>
    </row>
    <row r="9" spans="1:5">
      <c r="A9" s="11" t="s">
        <v>152</v>
      </c>
      <c r="B9" s="18">
        <f>SUM(E32:E34)</f>
        <v>0</v>
      </c>
    </row>
    <row r="10" spans="1:5">
      <c r="A10" s="11" t="s">
        <v>153</v>
      </c>
      <c r="B10" s="18">
        <f>SUM(E35:E35)</f>
        <v>0</v>
      </c>
    </row>
    <row r="11" spans="1:5">
      <c r="A11" s="11" t="s">
        <v>154</v>
      </c>
      <c r="B11" s="18">
        <f>SUM(E36:E36)</f>
        <v>0</v>
      </c>
    </row>
    <row r="12" spans="1:5">
      <c r="A12" s="11" t="s">
        <v>155</v>
      </c>
      <c r="B12" s="18">
        <f>SUM(E37:E45)</f>
        <v>0.5</v>
      </c>
    </row>
    <row r="13" spans="1:5">
      <c r="A13" s="11" t="s">
        <v>156</v>
      </c>
      <c r="B13" s="18">
        <f>SUM(E46:E56)</f>
        <v>0.94000000000000006</v>
      </c>
    </row>
    <row r="14" spans="1:5">
      <c r="A14" s="11" t="s">
        <v>157</v>
      </c>
      <c r="B14" s="18">
        <f>SUM(E57:E60)</f>
        <v>0</v>
      </c>
    </row>
    <row r="16" spans="1:5">
      <c r="A16" s="5" t="s">
        <v>158</v>
      </c>
    </row>
    <row r="17" spans="1:5">
      <c r="A17" s="19" t="s">
        <v>148</v>
      </c>
      <c r="B17" s="19" t="s">
        <v>159</v>
      </c>
      <c r="C17" s="19" t="s">
        <v>160</v>
      </c>
      <c r="D17" s="19" t="s">
        <v>161</v>
      </c>
      <c r="E17" s="19" t="s">
        <v>149</v>
      </c>
    </row>
    <row r="18" spans="1:5" ht="29.1" customHeight="1">
      <c r="A18" s="8" t="s">
        <v>150</v>
      </c>
      <c r="B18" s="8" t="s">
        <v>162</v>
      </c>
      <c r="C18" s="20">
        <v>0.2</v>
      </c>
      <c r="D18" s="9" t="s">
        <v>109</v>
      </c>
      <c r="E18" s="20">
        <f t="shared" ref="E18:E60" si="0">IF(D18="",0,IF(D18="Sí",C18,0))</f>
        <v>0</v>
      </c>
    </row>
    <row r="19" spans="1:5">
      <c r="A19" s="8" t="s">
        <v>150</v>
      </c>
      <c r="B19" s="8" t="s">
        <v>163</v>
      </c>
      <c r="C19" s="20">
        <v>0.2</v>
      </c>
      <c r="D19" s="9" t="s">
        <v>109</v>
      </c>
      <c r="E19" s="20">
        <f t="shared" si="0"/>
        <v>0</v>
      </c>
    </row>
    <row r="20" spans="1:5" ht="29.1" customHeight="1">
      <c r="A20" s="8" t="s">
        <v>150</v>
      </c>
      <c r="B20" s="8" t="s">
        <v>164</v>
      </c>
      <c r="C20" s="20">
        <v>0.2</v>
      </c>
      <c r="D20" s="9" t="s">
        <v>109</v>
      </c>
      <c r="E20" s="20">
        <f t="shared" si="0"/>
        <v>0</v>
      </c>
    </row>
    <row r="21" spans="1:5">
      <c r="A21" s="8" t="s">
        <v>150</v>
      </c>
      <c r="B21" s="8" t="s">
        <v>165</v>
      </c>
      <c r="C21" s="20">
        <v>0.2</v>
      </c>
      <c r="D21" s="9" t="s">
        <v>109</v>
      </c>
      <c r="E21" s="20">
        <f t="shared" si="0"/>
        <v>0</v>
      </c>
    </row>
    <row r="22" spans="1:5" ht="29.1" customHeight="1">
      <c r="A22" s="8" t="s">
        <v>150</v>
      </c>
      <c r="B22" s="8" t="s">
        <v>166</v>
      </c>
      <c r="C22" s="20">
        <v>0.2</v>
      </c>
      <c r="D22" s="9" t="s">
        <v>109</v>
      </c>
      <c r="E22" s="20">
        <f t="shared" si="0"/>
        <v>0</v>
      </c>
    </row>
    <row r="23" spans="1:5" ht="29.1" customHeight="1">
      <c r="A23" s="8" t="s">
        <v>151</v>
      </c>
      <c r="B23" s="8" t="s">
        <v>167</v>
      </c>
      <c r="C23" s="20">
        <v>0.1111</v>
      </c>
      <c r="D23" s="9" t="s">
        <v>109</v>
      </c>
      <c r="E23" s="20">
        <f t="shared" si="0"/>
        <v>0</v>
      </c>
    </row>
    <row r="24" spans="1:5">
      <c r="A24" s="8" t="s">
        <v>151</v>
      </c>
      <c r="B24" s="8" t="s">
        <v>139</v>
      </c>
      <c r="C24" s="20">
        <v>0.1111</v>
      </c>
      <c r="D24" s="9" t="s">
        <v>109</v>
      </c>
      <c r="E24" s="20">
        <f t="shared" si="0"/>
        <v>0</v>
      </c>
    </row>
    <row r="25" spans="1:5" ht="29.1" customHeight="1">
      <c r="A25" s="8" t="s">
        <v>151</v>
      </c>
      <c r="B25" s="8" t="s">
        <v>168</v>
      </c>
      <c r="C25" s="20">
        <v>0.1111</v>
      </c>
      <c r="D25" s="9" t="s">
        <v>109</v>
      </c>
      <c r="E25" s="20">
        <f t="shared" si="0"/>
        <v>0</v>
      </c>
    </row>
    <row r="26" spans="1:5">
      <c r="A26" s="8" t="s">
        <v>151</v>
      </c>
      <c r="B26" s="8" t="s">
        <v>169</v>
      </c>
      <c r="C26" s="20">
        <v>0.1111</v>
      </c>
      <c r="D26" s="9" t="s">
        <v>109</v>
      </c>
      <c r="E26" s="20">
        <f t="shared" si="0"/>
        <v>0</v>
      </c>
    </row>
    <row r="27" spans="1:5">
      <c r="A27" s="8" t="s">
        <v>151</v>
      </c>
      <c r="B27" s="8" t="s">
        <v>170</v>
      </c>
      <c r="C27" s="20">
        <v>0.1111</v>
      </c>
      <c r="D27" s="9" t="s">
        <v>109</v>
      </c>
      <c r="E27" s="20">
        <f t="shared" si="0"/>
        <v>0</v>
      </c>
    </row>
    <row r="28" spans="1:5">
      <c r="A28" s="8" t="s">
        <v>151</v>
      </c>
      <c r="B28" s="8" t="s">
        <v>171</v>
      </c>
      <c r="C28" s="20">
        <v>0.1111</v>
      </c>
      <c r="D28" s="9" t="s">
        <v>109</v>
      </c>
      <c r="E28" s="20">
        <f t="shared" si="0"/>
        <v>0</v>
      </c>
    </row>
    <row r="29" spans="1:5" ht="29.1" customHeight="1">
      <c r="A29" s="8" t="s">
        <v>151</v>
      </c>
      <c r="B29" s="8" t="s">
        <v>172</v>
      </c>
      <c r="C29" s="20">
        <v>0.1111</v>
      </c>
      <c r="D29" s="9" t="s">
        <v>109</v>
      </c>
      <c r="E29" s="20">
        <f t="shared" si="0"/>
        <v>0</v>
      </c>
    </row>
    <row r="30" spans="1:5" ht="29.1" customHeight="1">
      <c r="A30" s="8" t="s">
        <v>151</v>
      </c>
      <c r="B30" s="8" t="s">
        <v>173</v>
      </c>
      <c r="C30" s="20">
        <v>0.1111</v>
      </c>
      <c r="D30" s="9" t="s">
        <v>109</v>
      </c>
      <c r="E30" s="20">
        <f t="shared" si="0"/>
        <v>0</v>
      </c>
    </row>
    <row r="31" spans="1:5" ht="29.1" customHeight="1">
      <c r="A31" s="8" t="s">
        <v>151</v>
      </c>
      <c r="B31" s="8" t="s">
        <v>174</v>
      </c>
      <c r="C31" s="20">
        <v>0.11119999999999999</v>
      </c>
      <c r="D31" s="9" t="s">
        <v>109</v>
      </c>
      <c r="E31" s="20">
        <f t="shared" si="0"/>
        <v>0</v>
      </c>
    </row>
    <row r="32" spans="1:5" ht="29.1" customHeight="1">
      <c r="A32" s="8" t="s">
        <v>152</v>
      </c>
      <c r="B32" s="8" t="s">
        <v>175</v>
      </c>
      <c r="C32" s="20">
        <v>0.33329999999999999</v>
      </c>
      <c r="D32" s="9" t="s">
        <v>109</v>
      </c>
      <c r="E32" s="20">
        <f t="shared" si="0"/>
        <v>0</v>
      </c>
    </row>
    <row r="33" spans="1:5" ht="29.1" customHeight="1">
      <c r="A33" s="8" t="s">
        <v>152</v>
      </c>
      <c r="B33" s="8" t="s">
        <v>176</v>
      </c>
      <c r="C33" s="20">
        <v>0.33329999999999999</v>
      </c>
      <c r="D33" s="9" t="s">
        <v>109</v>
      </c>
      <c r="E33" s="20">
        <f t="shared" si="0"/>
        <v>0</v>
      </c>
    </row>
    <row r="34" spans="1:5" ht="29.1" customHeight="1">
      <c r="A34" s="8" t="s">
        <v>152</v>
      </c>
      <c r="B34" s="8" t="s">
        <v>177</v>
      </c>
      <c r="C34" s="20">
        <v>0.33339999999999997</v>
      </c>
      <c r="D34" s="9" t="s">
        <v>109</v>
      </c>
      <c r="E34" s="20">
        <f t="shared" si="0"/>
        <v>0</v>
      </c>
    </row>
    <row r="35" spans="1:5" ht="29.1" customHeight="1">
      <c r="A35" s="8" t="s">
        <v>153</v>
      </c>
      <c r="B35" s="8" t="s">
        <v>178</v>
      </c>
      <c r="C35" s="20">
        <v>1</v>
      </c>
      <c r="D35" s="9" t="s">
        <v>109</v>
      </c>
      <c r="E35" s="20">
        <f t="shared" si="0"/>
        <v>0</v>
      </c>
    </row>
    <row r="36" spans="1:5" ht="29.1" customHeight="1">
      <c r="A36" s="8" t="s">
        <v>154</v>
      </c>
      <c r="B36" s="8" t="s">
        <v>179</v>
      </c>
      <c r="C36" s="20">
        <v>1</v>
      </c>
      <c r="D36" s="9" t="s">
        <v>109</v>
      </c>
      <c r="E36" s="20">
        <f t="shared" si="0"/>
        <v>0</v>
      </c>
    </row>
    <row r="37" spans="1:5">
      <c r="A37" s="8" t="s">
        <v>155</v>
      </c>
      <c r="B37" s="8" t="s">
        <v>180</v>
      </c>
      <c r="C37" s="20">
        <v>0.1</v>
      </c>
      <c r="D37" s="9" t="s">
        <v>109</v>
      </c>
      <c r="E37" s="20">
        <f t="shared" si="0"/>
        <v>0</v>
      </c>
    </row>
    <row r="38" spans="1:5">
      <c r="A38" s="8" t="s">
        <v>155</v>
      </c>
      <c r="B38" s="8" t="s">
        <v>181</v>
      </c>
      <c r="C38" s="20">
        <v>0.2</v>
      </c>
      <c r="D38" s="9" t="s">
        <v>47</v>
      </c>
      <c r="E38" s="20">
        <f t="shared" si="0"/>
        <v>0.2</v>
      </c>
    </row>
    <row r="39" spans="1:5" ht="29.1" customHeight="1">
      <c r="A39" s="8" t="s">
        <v>155</v>
      </c>
      <c r="B39" s="8" t="s">
        <v>182</v>
      </c>
      <c r="C39" s="20">
        <v>0.1</v>
      </c>
      <c r="D39" s="9" t="s">
        <v>109</v>
      </c>
      <c r="E39" s="20">
        <f t="shared" si="0"/>
        <v>0</v>
      </c>
    </row>
    <row r="40" spans="1:5" ht="29.1" customHeight="1">
      <c r="A40" s="8" t="s">
        <v>155</v>
      </c>
      <c r="B40" s="8" t="s">
        <v>183</v>
      </c>
      <c r="C40" s="20">
        <v>0.1</v>
      </c>
      <c r="D40" s="9" t="s">
        <v>109</v>
      </c>
      <c r="E40" s="20">
        <f t="shared" si="0"/>
        <v>0</v>
      </c>
    </row>
    <row r="41" spans="1:5">
      <c r="A41" s="8" t="s">
        <v>155</v>
      </c>
      <c r="B41" s="8" t="s">
        <v>184</v>
      </c>
      <c r="C41" s="20">
        <v>0.1</v>
      </c>
      <c r="D41" s="9" t="s">
        <v>109</v>
      </c>
      <c r="E41" s="20">
        <f t="shared" si="0"/>
        <v>0</v>
      </c>
    </row>
    <row r="42" spans="1:5">
      <c r="A42" s="8" t="s">
        <v>155</v>
      </c>
      <c r="B42" s="8" t="s">
        <v>185</v>
      </c>
      <c r="C42" s="20">
        <v>0.1</v>
      </c>
      <c r="D42" s="9" t="s">
        <v>47</v>
      </c>
      <c r="E42" s="20">
        <f t="shared" si="0"/>
        <v>0.1</v>
      </c>
    </row>
    <row r="43" spans="1:5" ht="43.5" customHeight="1">
      <c r="A43" s="8" t="s">
        <v>155</v>
      </c>
      <c r="B43" s="8" t="s">
        <v>186</v>
      </c>
      <c r="C43" s="20">
        <v>0.1</v>
      </c>
      <c r="D43" s="9" t="s">
        <v>109</v>
      </c>
      <c r="E43" s="20">
        <f t="shared" si="0"/>
        <v>0</v>
      </c>
    </row>
    <row r="44" spans="1:5">
      <c r="A44" s="8" t="s">
        <v>155</v>
      </c>
      <c r="B44" s="8" t="s">
        <v>187</v>
      </c>
      <c r="C44" s="20">
        <v>0.1</v>
      </c>
      <c r="D44" s="9" t="s">
        <v>47</v>
      </c>
      <c r="E44" s="20">
        <f t="shared" si="0"/>
        <v>0.1</v>
      </c>
    </row>
    <row r="45" spans="1:5">
      <c r="A45" s="8" t="s">
        <v>155</v>
      </c>
      <c r="B45" s="8" t="s">
        <v>188</v>
      </c>
      <c r="C45" s="20">
        <v>0.1</v>
      </c>
      <c r="D45" s="9" t="s">
        <v>47</v>
      </c>
      <c r="E45" s="20">
        <f t="shared" si="0"/>
        <v>0.1</v>
      </c>
    </row>
    <row r="46" spans="1:5">
      <c r="A46" s="8" t="s">
        <v>156</v>
      </c>
      <c r="B46" s="8" t="s">
        <v>189</v>
      </c>
      <c r="C46" s="20">
        <v>0.2</v>
      </c>
      <c r="D46" s="9" t="s">
        <v>47</v>
      </c>
      <c r="E46" s="20">
        <f t="shared" si="0"/>
        <v>0.2</v>
      </c>
    </row>
    <row r="47" spans="1:5" ht="29.1" customHeight="1">
      <c r="A47" s="8" t="s">
        <v>156</v>
      </c>
      <c r="B47" s="8" t="s">
        <v>190</v>
      </c>
      <c r="C47" s="20">
        <v>0.2</v>
      </c>
      <c r="D47" s="9" t="s">
        <v>47</v>
      </c>
      <c r="E47" s="20">
        <f t="shared" si="0"/>
        <v>0.2</v>
      </c>
    </row>
    <row r="48" spans="1:5" ht="29.1" customHeight="1">
      <c r="A48" s="8" t="s">
        <v>156</v>
      </c>
      <c r="B48" s="8" t="s">
        <v>191</v>
      </c>
      <c r="C48" s="20">
        <v>0.1</v>
      </c>
      <c r="D48" s="9" t="s">
        <v>47</v>
      </c>
      <c r="E48" s="20">
        <f t="shared" si="0"/>
        <v>0.1</v>
      </c>
    </row>
    <row r="49" spans="1:5">
      <c r="A49" s="8" t="s">
        <v>156</v>
      </c>
      <c r="B49" s="8" t="s">
        <v>192</v>
      </c>
      <c r="C49" s="20">
        <v>0.02</v>
      </c>
      <c r="D49" s="9" t="s">
        <v>109</v>
      </c>
      <c r="E49" s="20">
        <f t="shared" si="0"/>
        <v>0</v>
      </c>
    </row>
    <row r="50" spans="1:5" ht="29.1" customHeight="1">
      <c r="A50" s="8" t="s">
        <v>156</v>
      </c>
      <c r="B50" s="8" t="s">
        <v>193</v>
      </c>
      <c r="C50" s="20">
        <v>0.05</v>
      </c>
      <c r="D50" s="9" t="s">
        <v>47</v>
      </c>
      <c r="E50" s="20">
        <f t="shared" si="0"/>
        <v>0.05</v>
      </c>
    </row>
    <row r="51" spans="1:5">
      <c r="A51" s="8" t="s">
        <v>156</v>
      </c>
      <c r="B51" s="8" t="s">
        <v>194</v>
      </c>
      <c r="C51" s="20">
        <v>0.09</v>
      </c>
      <c r="D51" s="9" t="s">
        <v>47</v>
      </c>
      <c r="E51" s="20">
        <f t="shared" si="0"/>
        <v>0.09</v>
      </c>
    </row>
    <row r="52" spans="1:5" ht="29.1" customHeight="1">
      <c r="A52" s="8" t="s">
        <v>156</v>
      </c>
      <c r="B52" s="8" t="s">
        <v>195</v>
      </c>
      <c r="C52" s="20">
        <v>0.09</v>
      </c>
      <c r="D52" s="9" t="s">
        <v>47</v>
      </c>
      <c r="E52" s="20">
        <f t="shared" si="0"/>
        <v>0.09</v>
      </c>
    </row>
    <row r="53" spans="1:5">
      <c r="A53" s="8" t="s">
        <v>156</v>
      </c>
      <c r="B53" s="8" t="s">
        <v>196</v>
      </c>
      <c r="C53" s="20">
        <v>0.16</v>
      </c>
      <c r="D53" s="9" t="s">
        <v>47</v>
      </c>
      <c r="E53" s="20">
        <f t="shared" si="0"/>
        <v>0.16</v>
      </c>
    </row>
    <row r="54" spans="1:5" ht="29.1" customHeight="1">
      <c r="A54" s="8" t="s">
        <v>156</v>
      </c>
      <c r="B54" s="8" t="s">
        <v>197</v>
      </c>
      <c r="C54" s="20">
        <v>0.02</v>
      </c>
      <c r="D54" s="9" t="s">
        <v>109</v>
      </c>
      <c r="E54" s="20">
        <f t="shared" si="0"/>
        <v>0</v>
      </c>
    </row>
    <row r="55" spans="1:5" ht="29.1" customHeight="1">
      <c r="A55" s="8" t="s">
        <v>156</v>
      </c>
      <c r="B55" s="8" t="s">
        <v>198</v>
      </c>
      <c r="C55" s="20">
        <v>0.05</v>
      </c>
      <c r="D55" s="9" t="s">
        <v>47</v>
      </c>
      <c r="E55" s="20">
        <f t="shared" si="0"/>
        <v>0.05</v>
      </c>
    </row>
    <row r="56" spans="1:5" ht="29.1" customHeight="1">
      <c r="A56" s="8" t="s">
        <v>156</v>
      </c>
      <c r="B56" s="8" t="s">
        <v>199</v>
      </c>
      <c r="C56" s="20">
        <v>0.02</v>
      </c>
      <c r="D56" s="9" t="s">
        <v>109</v>
      </c>
      <c r="E56" s="20">
        <f t="shared" si="0"/>
        <v>0</v>
      </c>
    </row>
    <row r="57" spans="1:5" ht="29.1" customHeight="1">
      <c r="A57" s="8" t="s">
        <v>157</v>
      </c>
      <c r="B57" s="8" t="s">
        <v>200</v>
      </c>
      <c r="C57" s="20">
        <v>0.3</v>
      </c>
      <c r="D57" s="9" t="s">
        <v>109</v>
      </c>
      <c r="E57" s="20">
        <f t="shared" si="0"/>
        <v>0</v>
      </c>
    </row>
    <row r="58" spans="1:5">
      <c r="A58" s="8" t="s">
        <v>157</v>
      </c>
      <c r="B58" s="8" t="s">
        <v>201</v>
      </c>
      <c r="C58" s="20">
        <v>0.2</v>
      </c>
      <c r="D58" s="9" t="s">
        <v>109</v>
      </c>
      <c r="E58" s="20">
        <f t="shared" si="0"/>
        <v>0</v>
      </c>
    </row>
    <row r="59" spans="1:5" ht="29.1" customHeight="1">
      <c r="A59" s="8" t="s">
        <v>157</v>
      </c>
      <c r="B59" s="8" t="s">
        <v>202</v>
      </c>
      <c r="C59" s="20">
        <v>0.3</v>
      </c>
      <c r="D59" s="9" t="s">
        <v>109</v>
      </c>
      <c r="E59" s="20">
        <f t="shared" si="0"/>
        <v>0</v>
      </c>
    </row>
    <row r="60" spans="1:5">
      <c r="A60" s="8" t="s">
        <v>157</v>
      </c>
      <c r="B60" s="8" t="s">
        <v>203</v>
      </c>
      <c r="C60" s="20">
        <v>0.2</v>
      </c>
      <c r="D60" s="9" t="s">
        <v>109</v>
      </c>
      <c r="E60" s="20">
        <f t="shared" si="0"/>
        <v>0</v>
      </c>
    </row>
    <row r="61" spans="1:5">
      <c r="A61" s="38" t="s">
        <v>204</v>
      </c>
      <c r="B61" s="37"/>
      <c r="C61" s="37"/>
      <c r="D61" s="37"/>
      <c r="E61" s="37"/>
    </row>
  </sheetData>
  <mergeCells count="3">
    <mergeCell ref="A61:E61"/>
    <mergeCell ref="A1:E1"/>
    <mergeCell ref="D2:E2"/>
  </mergeCells>
  <dataValidations count="1">
    <dataValidation type="list" allowBlank="1" sqref="D18:D60" xr:uid="{00000000-0002-0000-0300-000000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8"/>
  <sheetViews>
    <sheetView showGridLines="0" topLeftCell="A35" zoomScale="55" zoomScaleNormal="55" workbookViewId="0">
      <selection activeCell="E43" sqref="E43"/>
    </sheetView>
  </sheetViews>
  <sheetFormatPr defaultColWidth="8.5703125" defaultRowHeight="14.45"/>
  <cols>
    <col min="1" max="1" width="22.85546875" bestFit="1" customWidth="1"/>
    <col min="2" max="2" width="19.42578125" customWidth="1"/>
    <col min="3" max="5" width="16" customWidth="1"/>
    <col min="6" max="6" width="4" customWidth="1"/>
    <col min="7" max="7" width="26" customWidth="1"/>
    <col min="8" max="9" width="16" customWidth="1"/>
    <col min="10" max="10" width="18" customWidth="1"/>
    <col min="11" max="11" width="26" customWidth="1"/>
    <col min="12" max="12" width="16" customWidth="1"/>
  </cols>
  <sheetData>
    <row r="1" spans="1:13" ht="18.95" customHeight="1">
      <c r="A1" s="42" t="s">
        <v>205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3">
      <c r="A2" s="21" t="s">
        <v>145</v>
      </c>
      <c r="B2" s="43" t="str">
        <f>'0. Datos Empresa'!$B$4</f>
        <v>UNIVERSIDAD EAFIT</v>
      </c>
      <c r="C2" s="37"/>
      <c r="D2" s="37"/>
      <c r="E2" s="37"/>
    </row>
    <row r="4" spans="1:13" ht="15" customHeight="1">
      <c r="A4" s="35" t="s">
        <v>206</v>
      </c>
      <c r="B4" s="40"/>
      <c r="C4" s="39"/>
      <c r="F4" s="35" t="s">
        <v>207</v>
      </c>
      <c r="G4" s="40"/>
      <c r="H4" s="39"/>
      <c r="K4" s="35" t="s">
        <v>208</v>
      </c>
      <c r="L4" s="40"/>
      <c r="M4" s="39"/>
    </row>
    <row r="5" spans="1:13" ht="23.1" customHeight="1">
      <c r="A5" s="44">
        <f>COUNTA('2. Priorización Automatización'!$B$4:$B$18)</f>
        <v>8</v>
      </c>
      <c r="B5" s="40"/>
      <c r="C5" s="39"/>
      <c r="F5" s="44">
        <f>COUNT('2. Priorización Automatización'!$L$4:$L$18)</f>
        <v>8</v>
      </c>
      <c r="G5" s="40"/>
      <c r="H5" s="39"/>
      <c r="K5" s="45">
        <f>SUM('2. Priorización Automatización'!$R$4:$R$18)</f>
        <v>0</v>
      </c>
      <c r="L5" s="40"/>
      <c r="M5" s="39"/>
    </row>
    <row r="7" spans="1:13" ht="15" customHeight="1">
      <c r="A7" s="35" t="s">
        <v>209</v>
      </c>
      <c r="B7" s="40"/>
      <c r="C7" s="39"/>
      <c r="F7" s="35" t="s">
        <v>210</v>
      </c>
      <c r="G7" s="40"/>
      <c r="H7" s="39"/>
      <c r="K7" s="35" t="s">
        <v>211</v>
      </c>
      <c r="L7" s="40"/>
      <c r="M7" s="39"/>
    </row>
    <row r="8" spans="1:13" ht="23.1" customHeight="1">
      <c r="A8" s="46">
        <f>IFERROR(COUNTIF('2. Priorización Automatización'!$M$4:$M$18,"Totalmente automatizable")/COUNT('2. Priorización Automatización'!$L$4:$L$18),0)</f>
        <v>0.875</v>
      </c>
      <c r="B8" s="40"/>
      <c r="C8" s="39"/>
      <c r="F8" s="46">
        <f>IFERROR(COUNTIF('2. Priorización Automatización'!$M$4:$M$18,"Automatizable")/COUNT('2. Priorización Automatización'!$L$4:$L$18),0)</f>
        <v>0.125</v>
      </c>
      <c r="G8" s="40"/>
      <c r="H8" s="39"/>
      <c r="K8" s="46">
        <f>IFERROR(COUNTIF('2. Priorización Automatización'!$M$4:$M$18,"Descartar")/COUNT('2. Priorización Automatización'!$L$4:$L$18),0)</f>
        <v>0</v>
      </c>
      <c r="L8" s="40"/>
      <c r="M8" s="39"/>
    </row>
    <row r="10" spans="1:13" ht="15" customHeight="1">
      <c r="A10" s="35" t="s">
        <v>212</v>
      </c>
      <c r="B10" s="40"/>
      <c r="C10" s="39"/>
      <c r="F10" s="35" t="s">
        <v>213</v>
      </c>
      <c r="G10" s="40"/>
      <c r="H10" s="39"/>
      <c r="K10" s="35" t="s">
        <v>214</v>
      </c>
      <c r="L10" s="40"/>
      <c r="M10" s="39"/>
    </row>
    <row r="11" spans="1:13" ht="23.1" customHeight="1">
      <c r="A11" s="47">
        <f>SUMIFS('2. Priorización Automatización'!$P$4:$P$18,'2. Priorización Automatización'!$M$4:$M$18,"Totalmente automatizable")+SUMIFS('2. Priorización Automatización'!$P$4:$P$18,'2. Priorización Automatización'!$M$4:$M$18,"Automatizable")</f>
        <v>240.33333333333334</v>
      </c>
      <c r="B11" s="40"/>
      <c r="C11" s="39"/>
      <c r="F11" s="45">
        <f>SUMIFS('2. Priorización Automatización'!$Q$4:$Q$18,'2. Priorización Automatización'!$M$4:$M$18,"Totalmente automatizable")+SUMIFS('2. Priorización Automatización'!$Q$4:$Q$18,'2. Priorización Automatización'!$M$4:$M$18,"Automatizable")</f>
        <v>19</v>
      </c>
      <c r="G11" s="40"/>
      <c r="H11" s="39"/>
      <c r="K11" s="46">
        <f>IFERROR(AVERAGE('2. Priorización Automatización'!$L$4:$L$18),0)</f>
        <v>0.93055555555555558</v>
      </c>
      <c r="L11" s="40"/>
      <c r="M11" s="39"/>
    </row>
    <row r="13" spans="1:13">
      <c r="A13" s="48" t="s">
        <v>215</v>
      </c>
      <c r="B13" s="37"/>
      <c r="C13" s="37"/>
      <c r="F13" s="48" t="s">
        <v>216</v>
      </c>
      <c r="G13" s="37"/>
      <c r="H13" s="37"/>
      <c r="I13" s="37"/>
    </row>
    <row r="14" spans="1:13" ht="25.5" customHeight="1">
      <c r="A14" s="5" t="s">
        <v>97</v>
      </c>
      <c r="B14" s="5" t="s">
        <v>217</v>
      </c>
      <c r="F14" s="36" t="s">
        <v>218</v>
      </c>
      <c r="G14" s="37"/>
      <c r="H14" s="37"/>
      <c r="I14" s="37"/>
    </row>
    <row r="15" spans="1:13">
      <c r="A15" s="11" t="s">
        <v>219</v>
      </c>
      <c r="B15" s="11">
        <f>COUNTIF('2. Priorización Automatización'!$M$4:$M$18,"Totalmente automatizable")</f>
        <v>7</v>
      </c>
    </row>
    <row r="16" spans="1:13">
      <c r="A16" s="11" t="s">
        <v>220</v>
      </c>
      <c r="B16" s="11">
        <f>COUNTIF('2. Priorización Automatización'!$M$4:$M$18,"Automatizable")</f>
        <v>1</v>
      </c>
      <c r="F16" s="5" t="s">
        <v>85</v>
      </c>
      <c r="G16" s="5" t="s">
        <v>221</v>
      </c>
      <c r="H16" s="5" t="s">
        <v>222</v>
      </c>
      <c r="J16" s="5" t="s">
        <v>148</v>
      </c>
      <c r="K16" s="5" t="s">
        <v>217</v>
      </c>
    </row>
    <row r="17" spans="1:11">
      <c r="A17" s="11" t="s">
        <v>223</v>
      </c>
      <c r="B17" s="11">
        <f>COUNTIF('2. Priorización Automatización'!$M$4:$M$18,"Descartar")</f>
        <v>0</v>
      </c>
      <c r="F17" s="4" t="s">
        <v>103</v>
      </c>
      <c r="G17" s="11" t="str">
        <f>IFERROR(INDEX('2. Priorización Automatización'!$B$4:$B$18,MATCH(F17,'2. Priorización Automatización'!$A$4:$A$18,0)),"")</f>
        <v>Monitoreo de disponibilidad y alertas de switches y puntos de acceso</v>
      </c>
      <c r="H17" s="4" t="s">
        <v>156</v>
      </c>
      <c r="J17" t="s">
        <v>150</v>
      </c>
      <c r="K17">
        <f>COUNTIF($H$17:$H$31,"Inteligencia Artificial")</f>
        <v>0</v>
      </c>
    </row>
    <row r="18" spans="1:11">
      <c r="F18" s="4" t="s">
        <v>105</v>
      </c>
      <c r="G18" s="11" t="str">
        <f>IFERROR(INDEX('2. Priorización Automatización'!$B$4:$B$18,MATCH(F18,'2. Priorización Automatización'!$A$4:$A$18,0)),"")</f>
        <v>Generación periódica de reportes de desempeño de red</v>
      </c>
      <c r="H18" s="4" t="s">
        <v>151</v>
      </c>
      <c r="J18" t="s">
        <v>151</v>
      </c>
      <c r="K18">
        <f>COUNTIF($H$17:$H$31,"RPA")</f>
        <v>1</v>
      </c>
    </row>
    <row r="19" spans="1:11">
      <c r="F19" s="4" t="s">
        <v>107</v>
      </c>
      <c r="G19" s="11" t="str">
        <f>IFERROR(INDEX('2. Priorización Automatización'!$B$4:$B$18,MATCH(F19,'2. Priorización Automatización'!$A$4:$A$18,0)),"")</f>
        <v>Registro, clasificación y seguimiento de incidentes de conectividad</v>
      </c>
      <c r="H19" s="4" t="s">
        <v>155</v>
      </c>
      <c r="J19" t="s">
        <v>152</v>
      </c>
      <c r="K19">
        <f>COUNTIF($H$17:$H$31,"ETL")</f>
        <v>0</v>
      </c>
    </row>
    <row r="20" spans="1:11">
      <c r="F20" s="4" t="s">
        <v>110</v>
      </c>
      <c r="G20" s="11" t="str">
        <f>IFERROR(INDEX('2. Priorización Automatización'!$B$4:$B$18,MATCH(F20,'2. Priorización Automatización'!$A$4:$A$18,0)),"")</f>
        <v>Inventario y actualización de información de switches y AP</v>
      </c>
      <c r="H20" s="4" t="s">
        <v>156</v>
      </c>
      <c r="J20" t="s">
        <v>153</v>
      </c>
      <c r="K20">
        <f>COUNTIF($H$17:$H$31,"ESB")</f>
        <v>0</v>
      </c>
    </row>
    <row r="21" spans="1:11">
      <c r="F21" s="4" t="s">
        <v>112</v>
      </c>
      <c r="G21" s="11" t="str">
        <f>IFERROR(INDEX('2. Priorización Automatización'!$B$4:$B$18,MATCH(F21,'2. Priorización Automatización'!$A$4:$A$18,0)),"")</f>
        <v>Revisión y consolidación de logs de infraestructura</v>
      </c>
      <c r="H21" s="4" t="s">
        <v>156</v>
      </c>
      <c r="J21" t="s">
        <v>154</v>
      </c>
      <c r="K21">
        <f>COUNTIF($H$17:$H$31,"Aplicaciones (nueva funcionalidad)")</f>
        <v>0</v>
      </c>
    </row>
    <row r="22" spans="1:11">
      <c r="F22" s="4" t="s">
        <v>114</v>
      </c>
      <c r="G22" s="11" t="str">
        <f>IFERROR(INDEX('2. Priorización Automatización'!$B$4:$B$18,MATCH(F22,'2. Priorización Automatización'!$A$4:$A$18,0)),"")</f>
        <v>Programación y seguimiento de actualizaciones de firmware</v>
      </c>
      <c r="H22" s="4" t="s">
        <v>155</v>
      </c>
      <c r="J22" t="s">
        <v>155</v>
      </c>
      <c r="K22">
        <f>COUNTIF($H$17:$H$31,"BPA / BPMS")</f>
        <v>3</v>
      </c>
    </row>
    <row r="23" spans="1:11">
      <c r="F23" s="4" t="s">
        <v>116</v>
      </c>
      <c r="G23" s="11" t="str">
        <f>IFERROR(INDEX('2. Priorización Automatización'!$B$4:$B$18,MATCH(F23,'2. Priorización Automatización'!$A$4:$A$18,0)),"")</f>
        <v>Gestión de solicitudes de habilitación de puntos de red y VLAN</v>
      </c>
      <c r="H23" s="4" t="s">
        <v>155</v>
      </c>
      <c r="J23" t="s">
        <v>156</v>
      </c>
      <c r="K23">
        <f>COUNTIF($H$17:$H$31,"Estandarizar + Mejora Continua")</f>
        <v>4</v>
      </c>
    </row>
    <row r="24" spans="1:11">
      <c r="F24" s="4" t="s">
        <v>118</v>
      </c>
      <c r="G24" s="11" t="str">
        <f>IFERROR(INDEX('2. Priorización Automatización'!$B$4:$B$18,MATCH(F24,'2. Priorización Automatización'!$A$4:$A$18,0)),"")</f>
        <v>Seguimiento de ocupación estimada de aulas mediante sensores ESP32</v>
      </c>
      <c r="H24" s="4" t="s">
        <v>156</v>
      </c>
      <c r="J24" t="s">
        <v>157</v>
      </c>
      <c r="K24">
        <f>COUNTIF($H$17:$H$31,"RPA + OCR")</f>
        <v>0</v>
      </c>
    </row>
    <row r="25" spans="1:11">
      <c r="F25" s="4"/>
      <c r="G25" s="11" t="str">
        <f>IFERROR(INDEX('2. Priorización Automatización'!$B$4:$B$18,MATCH(F25,'2. Priorización Automatización'!$A$4:$A$18,0)),"")</f>
        <v/>
      </c>
      <c r="H25" s="4"/>
    </row>
    <row r="26" spans="1:11">
      <c r="F26" s="4"/>
      <c r="G26" s="11" t="str">
        <f>IFERROR(INDEX('2. Priorización Automatización'!$B$4:$B$18,MATCH(F26,'2. Priorización Automatización'!$A$4:$A$18,0)),"")</f>
        <v/>
      </c>
      <c r="H26" s="4"/>
    </row>
    <row r="27" spans="1:11">
      <c r="F27" s="4"/>
      <c r="G27" s="11" t="str">
        <f>IFERROR(INDEX('2. Priorización Automatización'!$B$4:$B$18,MATCH(F27,'2. Priorización Automatización'!$A$4:$A$18,0)),"")</f>
        <v/>
      </c>
      <c r="H27" s="4"/>
    </row>
    <row r="28" spans="1:11">
      <c r="F28" s="4"/>
      <c r="G28" s="11" t="str">
        <f>IFERROR(INDEX('2. Priorización Automatización'!$B$4:$B$18,MATCH(F28,'2. Priorización Automatización'!$A$4:$A$18,0)),"")</f>
        <v/>
      </c>
      <c r="H28" s="4"/>
    </row>
    <row r="29" spans="1:11">
      <c r="F29" s="4"/>
      <c r="G29" s="11" t="str">
        <f>IFERROR(INDEX('2. Priorización Automatización'!$B$4:$B$18,MATCH(F29,'2. Priorización Automatización'!$A$4:$A$18,0)),"")</f>
        <v/>
      </c>
      <c r="H29" s="4"/>
    </row>
    <row r="30" spans="1:11">
      <c r="F30" s="4"/>
      <c r="G30" s="11" t="str">
        <f>IFERROR(INDEX('2. Priorización Automatización'!$B$4:$B$18,MATCH(F30,'2. Priorización Automatización'!$A$4:$A$18,0)),"")</f>
        <v/>
      </c>
      <c r="H30" s="4"/>
    </row>
    <row r="31" spans="1:11">
      <c r="F31" s="4"/>
      <c r="G31" s="11" t="str">
        <f>IFERROR(INDEX('2. Priorización Automatización'!$B$4:$B$18,MATCH(F31,'2. Priorización Automatización'!$A$4:$A$18,0)),"")</f>
        <v/>
      </c>
      <c r="H31" s="4"/>
    </row>
    <row r="51" spans="1:6">
      <c r="A51" s="48" t="s">
        <v>224</v>
      </c>
      <c r="B51" s="37"/>
      <c r="C51" s="37"/>
      <c r="D51" s="37"/>
      <c r="E51" s="37"/>
      <c r="F51" s="37"/>
    </row>
    <row r="52" spans="1:6">
      <c r="A52" s="49" t="s">
        <v>225</v>
      </c>
      <c r="B52" s="37"/>
      <c r="C52" s="37"/>
      <c r="D52" s="37"/>
      <c r="E52" s="37"/>
      <c r="F52" s="37"/>
    </row>
    <row r="54" spans="1:6">
      <c r="A54" s="5" t="s">
        <v>226</v>
      </c>
      <c r="B54" s="5" t="s">
        <v>227</v>
      </c>
      <c r="C54" s="5" t="s">
        <v>228</v>
      </c>
    </row>
    <row r="55" spans="1:6">
      <c r="A55">
        <f>IFERROR(VALUE('2. Priorización Automatización'!L4),0)</f>
        <v>1</v>
      </c>
      <c r="B55">
        <f>IFERROR(VALUE('2. Priorización Automatización'!P4),0)</f>
        <v>60</v>
      </c>
      <c r="C55">
        <f>IFERROR(VALUE('2. Priorización Automatización'!Q4),0)</f>
        <v>3</v>
      </c>
    </row>
    <row r="56" spans="1:6">
      <c r="A56">
        <f>IFERROR(VALUE('2. Priorización Automatización'!L5),0)</f>
        <v>1</v>
      </c>
      <c r="B56">
        <f>IFERROR(VALUE('2. Priorización Automatización'!P5),0)</f>
        <v>40</v>
      </c>
      <c r="C56">
        <f>IFERROR(VALUE('2. Priorización Automatización'!Q5),0)</f>
        <v>2</v>
      </c>
    </row>
    <row r="57" spans="1:6">
      <c r="A57">
        <f>IFERROR(VALUE('2. Priorización Automatización'!L6),0)</f>
        <v>0.88888888888888884</v>
      </c>
      <c r="B57">
        <f>IFERROR(VALUE('2. Priorización Automatización'!P6),0)</f>
        <v>36</v>
      </c>
      <c r="C57">
        <f>IFERROR(VALUE('2. Priorización Automatización'!Q6),0)</f>
        <v>4</v>
      </c>
    </row>
    <row r="58" spans="1:6">
      <c r="A58">
        <f>IFERROR(VALUE('2. Priorización Automatización'!L7),0)</f>
        <v>0.88888888888888884</v>
      </c>
      <c r="B58">
        <f>IFERROR(VALUE('2. Priorización Automatización'!P7),0)</f>
        <v>13.333333333333334</v>
      </c>
      <c r="C58">
        <f>IFERROR(VALUE('2. Priorización Automatización'!Q7),0)</f>
        <v>2</v>
      </c>
    </row>
    <row r="59" spans="1:6">
      <c r="A59">
        <f>IFERROR(VALUE('2. Priorización Automatización'!L8),0)</f>
        <v>1</v>
      </c>
      <c r="B59">
        <f>IFERROR(VALUE('2. Priorización Automatización'!P8),0)</f>
        <v>20</v>
      </c>
      <c r="C59">
        <f>IFERROR(VALUE('2. Priorización Automatización'!Q8),0)</f>
        <v>2</v>
      </c>
    </row>
    <row r="60" spans="1:6">
      <c r="A60">
        <f>IFERROR(VALUE('2. Priorización Automatización'!L9),0)</f>
        <v>0.77777777777777779</v>
      </c>
      <c r="B60">
        <f>IFERROR(VALUE('2. Priorización Automatización'!P9),0)</f>
        <v>6</v>
      </c>
      <c r="C60">
        <f>IFERROR(VALUE('2. Priorización Automatización'!Q9),0)</f>
        <v>2</v>
      </c>
    </row>
    <row r="61" spans="1:6">
      <c r="A61">
        <f>IFERROR(VALUE('2. Priorización Automatización'!L10),0)</f>
        <v>0.88888888888888884</v>
      </c>
      <c r="B61">
        <f>IFERROR(VALUE('2. Priorización Automatización'!P10),0)</f>
        <v>20</v>
      </c>
      <c r="C61">
        <f>IFERROR(VALUE('2. Priorización Automatización'!Q10),0)</f>
        <v>3</v>
      </c>
    </row>
    <row r="62" spans="1:6">
      <c r="A62">
        <f>IFERROR(VALUE('2. Priorización Automatización'!L11),0)</f>
        <v>1</v>
      </c>
      <c r="B62">
        <f>IFERROR(VALUE('2. Priorización Automatización'!P11),0)</f>
        <v>45</v>
      </c>
      <c r="C62">
        <f>IFERROR(VALUE('2. Priorización Automatización'!Q11),0)</f>
        <v>1</v>
      </c>
    </row>
    <row r="63" spans="1:6">
      <c r="A63">
        <f>IFERROR(VALUE('2. Priorización Automatización'!L12),0)</f>
        <v>0</v>
      </c>
      <c r="B63">
        <f>IFERROR(VALUE('2. Priorización Automatización'!P12),0)</f>
        <v>0</v>
      </c>
      <c r="C63">
        <f>IFERROR(VALUE('2. Priorización Automatización'!Q12),0)</f>
        <v>0</v>
      </c>
    </row>
    <row r="64" spans="1:6">
      <c r="A64">
        <f>IFERROR(VALUE('2. Priorización Automatización'!L13),0)</f>
        <v>0</v>
      </c>
      <c r="B64">
        <f>IFERROR(VALUE('2. Priorización Automatización'!P13),0)</f>
        <v>0</v>
      </c>
      <c r="C64">
        <f>IFERROR(VALUE('2. Priorización Automatización'!Q13),0)</f>
        <v>0</v>
      </c>
    </row>
    <row r="65" spans="1:4">
      <c r="A65">
        <f>IFERROR(VALUE('2. Priorización Automatización'!L14),0)</f>
        <v>0</v>
      </c>
      <c r="B65">
        <f>IFERROR(VALUE('2. Priorización Automatización'!P14),0)</f>
        <v>0</v>
      </c>
      <c r="C65">
        <f>IFERROR(VALUE('2. Priorización Automatización'!Q14),0)</f>
        <v>0</v>
      </c>
    </row>
    <row r="66" spans="1:4">
      <c r="A66">
        <f>IFERROR(VALUE('2. Priorización Automatización'!L15),0)</f>
        <v>0</v>
      </c>
      <c r="B66">
        <f>IFERROR(VALUE('2. Priorización Automatización'!P15),0)</f>
        <v>0</v>
      </c>
      <c r="C66">
        <f>IFERROR(VALUE('2. Priorización Automatización'!Q15),0)</f>
        <v>0</v>
      </c>
    </row>
    <row r="67" spans="1:4">
      <c r="A67">
        <f>IFERROR(VALUE('2. Priorización Automatización'!L16),0)</f>
        <v>0</v>
      </c>
      <c r="B67">
        <f>IFERROR(VALUE('2. Priorización Automatización'!P16),0)</f>
        <v>0</v>
      </c>
      <c r="C67">
        <f>IFERROR(VALUE('2. Priorización Automatización'!Q16),0)</f>
        <v>0</v>
      </c>
    </row>
    <row r="68" spans="1:4">
      <c r="A68">
        <f>IFERROR(VALUE('2. Priorización Automatización'!L17),0)</f>
        <v>0</v>
      </c>
      <c r="B68">
        <f>IFERROR(VALUE('2. Priorización Automatización'!P17),0)</f>
        <v>0</v>
      </c>
      <c r="C68">
        <f>IFERROR(VALUE('2. Priorización Automatización'!Q17),0)</f>
        <v>0</v>
      </c>
    </row>
    <row r="69" spans="1:4">
      <c r="A69">
        <f>IFERROR(VALUE('2. Priorización Automatización'!L18),0)</f>
        <v>0</v>
      </c>
      <c r="B69">
        <f>IFERROR(VALUE('2. Priorización Automatización'!P18),0)</f>
        <v>0</v>
      </c>
      <c r="C69">
        <f>IFERROR(VALUE('2. Priorización Automatización'!Q18),0)</f>
        <v>0</v>
      </c>
    </row>
    <row r="77" spans="1:4">
      <c r="A77" s="48" t="s">
        <v>229</v>
      </c>
      <c r="B77" s="37"/>
      <c r="C77" s="37"/>
      <c r="D77" s="37"/>
    </row>
    <row r="78" spans="1:4">
      <c r="A78" s="49" t="s">
        <v>230</v>
      </c>
      <c r="B78" s="37"/>
      <c r="C78" s="37"/>
      <c r="D78" s="37"/>
    </row>
    <row r="80" spans="1:4">
      <c r="A80" s="5" t="s">
        <v>85</v>
      </c>
      <c r="B80" s="5" t="s">
        <v>231</v>
      </c>
      <c r="C80" s="5" t="s">
        <v>232</v>
      </c>
      <c r="D80" s="5" t="s">
        <v>233</v>
      </c>
    </row>
    <row r="81" spans="1:4">
      <c r="A81" t="str">
        <f>'2. Priorización Automatización'!A4</f>
        <v>P01</v>
      </c>
      <c r="B81" t="str">
        <f>'2. Priorización Automatización'!B4</f>
        <v>Monitoreo de disponibilidad y alertas de switches y puntos de acceso</v>
      </c>
      <c r="C81" s="22">
        <f>IF('2. Priorización Automatización'!L4="","",1-'2. Priorización Automatización'!L4)</f>
        <v>0</v>
      </c>
      <c r="D81">
        <f>IF(C81="","",RANK(C81,$C$81:$C$95)+COUNTIF($C$81:C81,C81)-1)</f>
        <v>5</v>
      </c>
    </row>
    <row r="82" spans="1:4">
      <c r="A82" t="str">
        <f>'2. Priorización Automatización'!A5</f>
        <v>P02</v>
      </c>
      <c r="B82" t="str">
        <f>'2. Priorización Automatización'!B5</f>
        <v>Generación periódica de reportes de desempeño de red</v>
      </c>
      <c r="C82" s="22">
        <f>IF('2. Priorización Automatización'!L5="","",1-'2. Priorización Automatización'!L5)</f>
        <v>0</v>
      </c>
      <c r="D82">
        <f>IF(C82="","",RANK(C82,$C$81:$C$95)+COUNTIF($C$81:C82,C82)-1)</f>
        <v>6</v>
      </c>
    </row>
    <row r="83" spans="1:4">
      <c r="A83" t="str">
        <f>'2. Priorización Automatización'!A6</f>
        <v>P03</v>
      </c>
      <c r="B83" t="str">
        <f>'2. Priorización Automatización'!B6</f>
        <v>Registro, clasificación y seguimiento de incidentes de conectividad</v>
      </c>
      <c r="C83" s="22">
        <f>IF('2. Priorización Automatización'!L6="","",1-'2. Priorización Automatización'!L6)</f>
        <v>0.11111111111111116</v>
      </c>
      <c r="D83">
        <f>IF(C83="","",RANK(C83,$C$81:$C$95)+COUNTIF($C$81:C83,C83)-1)</f>
        <v>2</v>
      </c>
    </row>
    <row r="84" spans="1:4">
      <c r="A84" t="str">
        <f>'2. Priorización Automatización'!A7</f>
        <v>P04</v>
      </c>
      <c r="B84" t="str">
        <f>'2. Priorización Automatización'!B7</f>
        <v>Inventario y actualización de información de switches y AP</v>
      </c>
      <c r="C84" s="22">
        <f>IF('2. Priorización Automatización'!L7="","",1-'2. Priorización Automatización'!L7)</f>
        <v>0.11111111111111116</v>
      </c>
      <c r="D84">
        <f>IF(C84="","",RANK(C84,$C$81:$C$95)+COUNTIF($C$81:C84,C84)-1)</f>
        <v>3</v>
      </c>
    </row>
    <row r="85" spans="1:4">
      <c r="A85" t="str">
        <f>'2. Priorización Automatización'!A8</f>
        <v>P05</v>
      </c>
      <c r="B85" t="str">
        <f>'2. Priorización Automatización'!B8</f>
        <v>Revisión y consolidación de logs de infraestructura</v>
      </c>
      <c r="C85" s="22">
        <f>IF('2. Priorización Automatización'!L8="","",1-'2. Priorización Automatización'!L8)</f>
        <v>0</v>
      </c>
      <c r="D85">
        <f>IF(C85="","",RANK(C85,$C$81:$C$95)+COUNTIF($C$81:C85,C85)-1)</f>
        <v>7</v>
      </c>
    </row>
    <row r="86" spans="1:4">
      <c r="A86" t="str">
        <f>'2. Priorización Automatización'!A9</f>
        <v>P06</v>
      </c>
      <c r="B86" t="str">
        <f>'2. Priorización Automatización'!B9</f>
        <v>Programación y seguimiento de actualizaciones de firmware</v>
      </c>
      <c r="C86" s="22">
        <f>IF('2. Priorización Automatización'!L9="","",1-'2. Priorización Automatización'!L9)</f>
        <v>0.22222222222222221</v>
      </c>
      <c r="D86">
        <f>IF(C86="","",RANK(C86,$C$81:$C$95)+COUNTIF($C$81:C86,C86)-1)</f>
        <v>1</v>
      </c>
    </row>
    <row r="87" spans="1:4">
      <c r="A87" t="str">
        <f>'2. Priorización Automatización'!A10</f>
        <v>P07</v>
      </c>
      <c r="B87" t="str">
        <f>'2. Priorización Automatización'!B10</f>
        <v>Gestión de solicitudes de habilitación de puntos de red y VLAN</v>
      </c>
      <c r="C87" s="22">
        <f>IF('2. Priorización Automatización'!L10="","",1-'2. Priorización Automatización'!L10)</f>
        <v>0.11111111111111116</v>
      </c>
      <c r="D87">
        <f>IF(C87="","",RANK(C87,$C$81:$C$95)+COUNTIF($C$81:C87,C87)-1)</f>
        <v>4</v>
      </c>
    </row>
    <row r="88" spans="1:4">
      <c r="A88" t="str">
        <f>'2. Priorización Automatización'!A11</f>
        <v>P08</v>
      </c>
      <c r="B88" t="str">
        <f>'2. Priorización Automatización'!B11</f>
        <v>Seguimiento de ocupación estimada de aulas mediante sensores ESP32</v>
      </c>
      <c r="C88" s="22">
        <f>IF('2. Priorización Automatización'!L11="","",1-'2. Priorización Automatización'!L11)</f>
        <v>0</v>
      </c>
      <c r="D88">
        <f>IF(C88="","",RANK(C88,$C$81:$C$95)+COUNTIF($C$81:C88,C88)-1)</f>
        <v>8</v>
      </c>
    </row>
    <row r="89" spans="1:4">
      <c r="A89" t="str">
        <f>'2. Priorización Automatización'!A12</f>
        <v>P09</v>
      </c>
      <c r="B89">
        <f>'2. Priorización Automatización'!B12</f>
        <v>0</v>
      </c>
      <c r="C89" s="22" t="str">
        <f>IF('2. Priorización Automatización'!L12="","",1-'2. Priorización Automatización'!L12)</f>
        <v/>
      </c>
      <c r="D89" t="str">
        <f>IF(C89="","",RANK(C89,$C$81:$C$95)+COUNTIF($C$81:C89,C89)-1)</f>
        <v/>
      </c>
    </row>
    <row r="90" spans="1:4">
      <c r="A90" t="str">
        <f>'2. Priorización Automatización'!A13</f>
        <v>P10</v>
      </c>
      <c r="B90">
        <f>'2. Priorización Automatización'!B13</f>
        <v>0</v>
      </c>
      <c r="C90" s="22" t="str">
        <f>IF('2. Priorización Automatización'!L13="","",1-'2. Priorización Automatización'!L13)</f>
        <v/>
      </c>
      <c r="D90" t="str">
        <f>IF(C90="","",RANK(C90,$C$81:$C$95)+COUNTIF($C$81:C90,C90)-1)</f>
        <v/>
      </c>
    </row>
    <row r="91" spans="1:4">
      <c r="A91" t="str">
        <f>'2. Priorización Automatización'!A14</f>
        <v>P11</v>
      </c>
      <c r="B91">
        <f>'2. Priorización Automatización'!B14</f>
        <v>0</v>
      </c>
      <c r="C91" s="22" t="str">
        <f>IF('2. Priorización Automatización'!L14="","",1-'2. Priorización Automatización'!L14)</f>
        <v/>
      </c>
      <c r="D91" t="str">
        <f>IF(C91="","",RANK(C91,$C$81:$C$95)+COUNTIF($C$81:C91,C91)-1)</f>
        <v/>
      </c>
    </row>
    <row r="92" spans="1:4">
      <c r="A92" t="str">
        <f>'2. Priorización Automatización'!A15</f>
        <v>P12</v>
      </c>
      <c r="B92">
        <f>'2. Priorización Automatización'!B15</f>
        <v>0</v>
      </c>
      <c r="C92" s="22" t="str">
        <f>IF('2. Priorización Automatización'!L15="","",1-'2. Priorización Automatización'!L15)</f>
        <v/>
      </c>
      <c r="D92" t="str">
        <f>IF(C92="","",RANK(C92,$C$81:$C$95)+COUNTIF($C$81:C92,C92)-1)</f>
        <v/>
      </c>
    </row>
    <row r="93" spans="1:4">
      <c r="A93" t="str">
        <f>'2. Priorización Automatización'!A16</f>
        <v>P13</v>
      </c>
      <c r="B93">
        <f>'2. Priorización Automatización'!B16</f>
        <v>0</v>
      </c>
      <c r="C93" s="22" t="str">
        <f>IF('2. Priorización Automatización'!L16="","",1-'2. Priorización Automatización'!L16)</f>
        <v/>
      </c>
      <c r="D93" t="str">
        <f>IF(C93="","",RANK(C93,$C$81:$C$95)+COUNTIF($C$81:C93,C93)-1)</f>
        <v/>
      </c>
    </row>
    <row r="94" spans="1:4">
      <c r="A94" t="str">
        <f>'2. Priorización Automatización'!A17</f>
        <v>P14</v>
      </c>
      <c r="B94">
        <f>'2. Priorización Automatización'!B17</f>
        <v>0</v>
      </c>
      <c r="C94" s="22" t="str">
        <f>IF('2. Priorización Automatización'!L17="","",1-'2. Priorización Automatización'!L17)</f>
        <v/>
      </c>
      <c r="D94" t="str">
        <f>IF(C94="","",RANK(C94,$C$81:$C$95)+COUNTIF($C$81:C94,C94)-1)</f>
        <v/>
      </c>
    </row>
    <row r="95" spans="1:4">
      <c r="A95" t="str">
        <f>'2. Priorización Automatización'!A18</f>
        <v>P15</v>
      </c>
      <c r="B95">
        <f>'2. Priorización Automatización'!B18</f>
        <v>0</v>
      </c>
      <c r="C95" s="22" t="str">
        <f>IF('2. Priorización Automatización'!L18="","",1-'2. Priorización Automatización'!L18)</f>
        <v/>
      </c>
      <c r="D95" t="str">
        <f>IF(C95="","",RANK(C95,$C$81:$C$95)+COUNTIF($C$81:C95,C95)-1)</f>
        <v/>
      </c>
    </row>
    <row r="97" spans="1:3">
      <c r="A97" s="50" t="s">
        <v>234</v>
      </c>
      <c r="B97" s="37"/>
      <c r="C97" s="37"/>
    </row>
    <row r="98" spans="1:3">
      <c r="A98" s="5" t="s">
        <v>81</v>
      </c>
      <c r="B98" s="5" t="s">
        <v>232</v>
      </c>
    </row>
    <row r="99" spans="1:3">
      <c r="A99" t="str">
        <f>IFERROR(INDEX($B$81:$B$95,MATCH(1,$D$81:$D$95,0)),"")</f>
        <v>Programación y seguimiento de actualizaciones de firmware</v>
      </c>
      <c r="B99" s="22">
        <f>IFERROR(INDEX($C$81:$C$95,MATCH(1,$D$81:$D$95,0)),"")</f>
        <v>0.22222222222222221</v>
      </c>
    </row>
    <row r="100" spans="1:3">
      <c r="A100" t="str">
        <f>IFERROR(INDEX($B$81:$B$95,MATCH(2,$D$81:$D$95,0)),"")</f>
        <v>Registro, clasificación y seguimiento de incidentes de conectividad</v>
      </c>
      <c r="B100" s="22">
        <f>IFERROR(INDEX($C$81:$C$95,MATCH(2,$D$81:$D$95,0)),"")</f>
        <v>0.11111111111111116</v>
      </c>
    </row>
    <row r="101" spans="1:3">
      <c r="A101" t="str">
        <f>IFERROR(INDEX($B$81:$B$95,MATCH(3,$D$81:$D$95,0)),"")</f>
        <v>Inventario y actualización de información de switches y AP</v>
      </c>
      <c r="B101" s="22">
        <f>IFERROR(INDEX($C$81:$C$95,MATCH(3,$D$81:$D$95,0)),"")</f>
        <v>0.11111111111111116</v>
      </c>
    </row>
    <row r="102" spans="1:3">
      <c r="A102" t="str">
        <f>IFERROR(INDEX($B$81:$B$95,MATCH(4,$D$81:$D$95,0)),"")</f>
        <v>Gestión de solicitudes de habilitación de puntos de red y VLAN</v>
      </c>
      <c r="B102" s="22">
        <f>IFERROR(INDEX($C$81:$C$95,MATCH(4,$D$81:$D$95,0)),"")</f>
        <v>0.11111111111111116</v>
      </c>
    </row>
    <row r="103" spans="1:3">
      <c r="A103" t="str">
        <f>IFERROR(INDEX($B$81:$B$95,MATCH(5,$D$81:$D$95,0)),"")</f>
        <v>Monitoreo de disponibilidad y alertas de switches y puntos de acceso</v>
      </c>
      <c r="B103" s="22">
        <f>IFERROR(INDEX($C$81:$C$95,MATCH(5,$D$81:$D$95,0)),"")</f>
        <v>0</v>
      </c>
    </row>
    <row r="104" spans="1:3">
      <c r="A104" t="str">
        <f>IFERROR(INDEX($B$81:$B$95,MATCH(6,$D$81:$D$95,0)),"")</f>
        <v>Generación periódica de reportes de desempeño de red</v>
      </c>
      <c r="B104" s="22">
        <f>IFERROR(INDEX($C$81:$C$95,MATCH(6,$D$81:$D$95,0)),"")</f>
        <v>0</v>
      </c>
    </row>
    <row r="105" spans="1:3">
      <c r="A105" t="str">
        <f>IFERROR(INDEX($B$81:$B$95,MATCH(7,$D$81:$D$95,0)),"")</f>
        <v>Revisión y consolidación de logs de infraestructura</v>
      </c>
      <c r="B105" s="22">
        <f>IFERROR(INDEX($C$81:$C$95,MATCH(7,$D$81:$D$95,0)),"")</f>
        <v>0</v>
      </c>
    </row>
    <row r="106" spans="1:3">
      <c r="A106" t="str">
        <f>IFERROR(INDEX($B$81:$B$95,MATCH(8,$D$81:$D$95,0)),"")</f>
        <v>Seguimiento de ocupación estimada de aulas mediante sensores ESP32</v>
      </c>
      <c r="B106" s="22">
        <f>IFERROR(INDEX($C$81:$C$95,MATCH(8,$D$81:$D$95,0)),"")</f>
        <v>0</v>
      </c>
    </row>
    <row r="107" spans="1:3">
      <c r="A107" t="str">
        <f>IFERROR(INDEX($B$81:$B$95,MATCH(9,$D$81:$D$95,0)),"")</f>
        <v/>
      </c>
      <c r="B107" s="22" t="str">
        <f>IFERROR(INDEX($C$81:$C$95,MATCH(9,$D$81:$D$95,0)),"")</f>
        <v/>
      </c>
    </row>
    <row r="108" spans="1:3">
      <c r="A108" t="str">
        <f>IFERROR(INDEX($B$81:$B$95,MATCH(10,$D$81:$D$95,0)),"")</f>
        <v/>
      </c>
      <c r="B108" s="22" t="str">
        <f>IFERROR(INDEX($C$81:$C$95,MATCH(10,$D$81:$D$95,0)),"")</f>
        <v/>
      </c>
    </row>
  </sheetData>
  <mergeCells count="28">
    <mergeCell ref="A97:C97"/>
    <mergeCell ref="A4:C4"/>
    <mergeCell ref="A10:C10"/>
    <mergeCell ref="A52:F52"/>
    <mergeCell ref="A13:C13"/>
    <mergeCell ref="F13:I13"/>
    <mergeCell ref="F5:H5"/>
    <mergeCell ref="F8:H8"/>
    <mergeCell ref="F14:I14"/>
    <mergeCell ref="A78:D78"/>
    <mergeCell ref="F4:H4"/>
    <mergeCell ref="B2:E2"/>
    <mergeCell ref="F11:H11"/>
    <mergeCell ref="F10:H10"/>
    <mergeCell ref="A51:F51"/>
    <mergeCell ref="A11:C11"/>
    <mergeCell ref="A5:C5"/>
    <mergeCell ref="A77:D77"/>
    <mergeCell ref="A8:C8"/>
    <mergeCell ref="A1:L1"/>
    <mergeCell ref="F7:H7"/>
    <mergeCell ref="A7:C7"/>
    <mergeCell ref="K11:M11"/>
    <mergeCell ref="K4:M4"/>
    <mergeCell ref="K5:M5"/>
    <mergeCell ref="K8:M8"/>
    <mergeCell ref="K7:M7"/>
    <mergeCell ref="K10:M10"/>
  </mergeCells>
  <dataValidations count="1">
    <dataValidation type="list" allowBlank="1" sqref="H17:H31" xr:uid="{00000000-0002-0000-0400-000000000000}">
      <formula1>"Inteligencia Artificial,RPA,ETL,ESB,Aplicaciones (nueva funcionalidad),BPA / BPMS,Estandarizar + Mejora Continua,RPA + OCR"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showGridLines="0" topLeftCell="A6" zoomScaleNormal="100" workbookViewId="0">
      <selection sqref="A1:E1"/>
    </sheetView>
  </sheetViews>
  <sheetFormatPr defaultColWidth="8.5703125" defaultRowHeight="14.45"/>
  <cols>
    <col min="1" max="1" width="34" customWidth="1"/>
    <col min="2" max="2" width="50" customWidth="1"/>
    <col min="3" max="3" width="12" customWidth="1"/>
    <col min="4" max="4" width="10" customWidth="1"/>
    <col min="5" max="5" width="12" customWidth="1"/>
  </cols>
  <sheetData>
    <row r="1" spans="1:5" ht="16.5" customHeight="1">
      <c r="A1" s="41" t="s">
        <v>142</v>
      </c>
      <c r="B1" s="37"/>
      <c r="C1" s="37"/>
      <c r="D1" s="37"/>
      <c r="E1" s="37"/>
    </row>
    <row r="2" spans="1:5">
      <c r="A2" s="5" t="s">
        <v>143</v>
      </c>
      <c r="B2" s="17" t="inlineStr">
        <is>
          <t>P02</t>
        </is>
      </c>
      <c r="C2" s="5" t="s">
        <v>144</v>
      </c>
      <c r="D2" s="37" t="str">
        <f>IFERROR(INDEX('2. Priorización Automatización'!$B$4:$B$18,MATCH(B2,'2. Priorización Automatización'!$A$4:$A$18,0)),"")</f>
        <v>Monitoreo de disponibilidad y alertas de switches y puntos de acceso</v>
      </c>
      <c r="E2" s="37"/>
    </row>
    <row r="3" spans="1:5">
      <c r="A3" s="2" t="s">
        <v>145</v>
      </c>
      <c r="B3" s="2" t="str">
        <f>'0. Datos Empresa'!$B$4</f>
        <v>UNIVERSIDAD EAFIT</v>
      </c>
    </row>
    <row r="5" spans="1:5">
      <c r="A5" s="5" t="s">
        <v>146</v>
      </c>
      <c r="D5" s="5" t="s">
        <v>147</v>
      </c>
      <c r="E5" s="6" t="str">
        <f>IFERROR(INDEX(A7:A14,MATCH(MAX(B7:B14),B7:B14,0)),"")</f>
        <v>Estandarizar + Mejora Continua</v>
      </c>
    </row>
    <row r="6" spans="1:5">
      <c r="A6" s="5" t="s">
        <v>148</v>
      </c>
      <c r="B6" s="5" t="s">
        <v>149</v>
      </c>
    </row>
    <row r="7" spans="1:5">
      <c r="A7" s="11" t="s">
        <v>150</v>
      </c>
      <c r="B7" s="18">
        <f>SUM(E18:E22)</f>
        <v>0</v>
      </c>
    </row>
    <row r="8" spans="1:5">
      <c r="A8" s="11" t="s">
        <v>151</v>
      </c>
      <c r="B8" s="18">
        <f>SUM(E23:E31)</f>
        <v>0</v>
      </c>
    </row>
    <row r="9" spans="1:5">
      <c r="A9" s="11" t="s">
        <v>152</v>
      </c>
      <c r="B9" s="18">
        <f>SUM(E32:E34)</f>
        <v>0</v>
      </c>
    </row>
    <row r="10" spans="1:5">
      <c r="A10" s="11" t="s">
        <v>153</v>
      </c>
      <c r="B10" s="18">
        <f>SUM(E35:E35)</f>
        <v>0</v>
      </c>
    </row>
    <row r="11" spans="1:5">
      <c r="A11" s="11" t="s">
        <v>154</v>
      </c>
      <c r="B11" s="18">
        <f>SUM(E36:E36)</f>
        <v>0</v>
      </c>
    </row>
    <row r="12" spans="1:5">
      <c r="A12" s="11" t="s">
        <v>155</v>
      </c>
      <c r="B12" s="18">
        <f>SUM(E37:E45)</f>
        <v>0.5</v>
      </c>
    </row>
    <row r="13" spans="1:5">
      <c r="A13" s="11" t="s">
        <v>156</v>
      </c>
      <c r="B13" s="18">
        <f>SUM(E46:E56)</f>
        <v>0.94000000000000006</v>
      </c>
    </row>
    <row r="14" spans="1:5">
      <c r="A14" s="11" t="s">
        <v>157</v>
      </c>
      <c r="B14" s="18">
        <f>SUM(E57:E60)</f>
        <v>0</v>
      </c>
    </row>
    <row r="16" spans="1:5">
      <c r="A16" s="5" t="s">
        <v>158</v>
      </c>
    </row>
    <row r="17" spans="1:5">
      <c r="A17" s="19" t="s">
        <v>148</v>
      </c>
      <c r="B17" s="19" t="s">
        <v>159</v>
      </c>
      <c r="C17" s="19" t="s">
        <v>160</v>
      </c>
      <c r="D17" s="19" t="s">
        <v>161</v>
      </c>
      <c r="E17" s="19" t="s">
        <v>149</v>
      </c>
    </row>
    <row r="18" spans="1:5" ht="29.1" customHeight="1">
      <c r="A18" s="8" t="s">
        <v>150</v>
      </c>
      <c r="B18" s="8" t="s">
        <v>162</v>
      </c>
      <c r="C18" s="20">
        <v>0.2</v>
      </c>
      <c r="D18" s="9" t="inlineStr">
        <is>
          <t>No</t>
        </is>
      </c>
      <c r="E18" s="20">
        <f t="shared" ref="E18:E60" si="0">IF(D18="",0,IF(D18="Sí",C18,0))</f>
        <v>0</v>
      </c>
    </row>
    <row r="19" spans="1:5">
      <c r="A19" s="8" t="s">
        <v>150</v>
      </c>
      <c r="B19" s="8" t="s">
        <v>163</v>
      </c>
      <c r="C19" s="20">
        <v>0.2</v>
      </c>
      <c r="D19" s="9" t="inlineStr">
        <is>
          <t>No</t>
        </is>
      </c>
      <c r="E19" s="20">
        <f t="shared" si="0"/>
        <v>0</v>
      </c>
    </row>
    <row r="20" spans="1:5" ht="29.1" customHeight="1">
      <c r="A20" s="8" t="s">
        <v>150</v>
      </c>
      <c r="B20" s="8" t="s">
        <v>164</v>
      </c>
      <c r="C20" s="20">
        <v>0.2</v>
      </c>
      <c r="D20" s="9" t="inlineStr">
        <is>
          <t>No</t>
        </is>
      </c>
      <c r="E20" s="20">
        <f t="shared" si="0"/>
        <v>0</v>
      </c>
    </row>
    <row r="21" spans="1:5">
      <c r="A21" s="8" t="s">
        <v>150</v>
      </c>
      <c r="B21" s="8" t="s">
        <v>165</v>
      </c>
      <c r="C21" s="20">
        <v>0.2</v>
      </c>
      <c r="D21" s="9" t="inlineStr">
        <is>
          <t>No</t>
        </is>
      </c>
      <c r="E21" s="20">
        <f t="shared" si="0"/>
        <v>0</v>
      </c>
    </row>
    <row r="22" spans="1:5" ht="29.1" customHeight="1">
      <c r="A22" s="8" t="s">
        <v>150</v>
      </c>
      <c r="B22" s="8" t="s">
        <v>166</v>
      </c>
      <c r="C22" s="20">
        <v>0.2</v>
      </c>
      <c r="D22" s="9" t="inlineStr">
        <is>
          <t>No</t>
        </is>
      </c>
      <c r="E22" s="20">
        <f t="shared" si="0"/>
        <v>0</v>
      </c>
    </row>
    <row r="23" spans="1:5" ht="29.1" customHeight="1">
      <c r="A23" s="8" t="s">
        <v>151</v>
      </c>
      <c r="B23" s="8" t="s">
        <v>167</v>
      </c>
      <c r="C23" s="20">
        <v>0.1111</v>
      </c>
      <c r="D23" s="9" t="inlineStr">
        <is>
          <t>Sí</t>
        </is>
      </c>
      <c r="E23" s="20">
        <f t="shared" si="0"/>
        <v>0</v>
      </c>
    </row>
    <row r="24" spans="1:5">
      <c r="A24" s="8" t="s">
        <v>151</v>
      </c>
      <c r="B24" s="8" t="s">
        <v>139</v>
      </c>
      <c r="C24" s="20">
        <v>0.1111</v>
      </c>
      <c r="D24" s="9" t="inlineStr">
        <is>
          <t>Sí</t>
        </is>
      </c>
      <c r="E24" s="20">
        <f t="shared" si="0"/>
        <v>0</v>
      </c>
    </row>
    <row r="25" spans="1:5" ht="29.1" customHeight="1">
      <c r="A25" s="8" t="s">
        <v>151</v>
      </c>
      <c r="B25" s="8" t="s">
        <v>168</v>
      </c>
      <c r="C25" s="20">
        <v>0.1111</v>
      </c>
      <c r="D25" s="9" t="inlineStr">
        <is>
          <t>Sí</t>
        </is>
      </c>
      <c r="E25" s="20">
        <f t="shared" si="0"/>
        <v>0</v>
      </c>
    </row>
    <row r="26" spans="1:5">
      <c r="A26" s="8" t="s">
        <v>151</v>
      </c>
      <c r="B26" s="8" t="s">
        <v>169</v>
      </c>
      <c r="C26" s="20">
        <v>0.1111</v>
      </c>
      <c r="D26" s="9" t="inlineStr">
        <is>
          <t>Sí</t>
        </is>
      </c>
      <c r="E26" s="20">
        <f t="shared" si="0"/>
        <v>0</v>
      </c>
    </row>
    <row r="27" spans="1:5">
      <c r="A27" s="8" t="s">
        <v>151</v>
      </c>
      <c r="B27" s="8" t="s">
        <v>170</v>
      </c>
      <c r="C27" s="20">
        <v>0.1111</v>
      </c>
      <c r="D27" s="9" t="inlineStr">
        <is>
          <t>Sí</t>
        </is>
      </c>
      <c r="E27" s="20">
        <f t="shared" si="0"/>
        <v>0</v>
      </c>
    </row>
    <row r="28" spans="1:5">
      <c r="A28" s="8" t="s">
        <v>151</v>
      </c>
      <c r="B28" s="8" t="s">
        <v>171</v>
      </c>
      <c r="C28" s="20">
        <v>0.1111</v>
      </c>
      <c r="D28" s="9" t="inlineStr">
        <is>
          <t>Sí</t>
        </is>
      </c>
      <c r="E28" s="20">
        <f t="shared" si="0"/>
        <v>0</v>
      </c>
    </row>
    <row r="29" spans="1:5" ht="29.1" customHeight="1">
      <c r="A29" s="8" t="s">
        <v>151</v>
      </c>
      <c r="B29" s="8" t="s">
        <v>172</v>
      </c>
      <c r="C29" s="20">
        <v>0.1111</v>
      </c>
      <c r="D29" s="9" t="inlineStr">
        <is>
          <t>Sí</t>
        </is>
      </c>
      <c r="E29" s="20">
        <f t="shared" si="0"/>
        <v>0</v>
      </c>
    </row>
    <row r="30" spans="1:5" ht="29.1" customHeight="1">
      <c r="A30" s="8" t="s">
        <v>151</v>
      </c>
      <c r="B30" s="8" t="s">
        <v>173</v>
      </c>
      <c r="C30" s="20">
        <v>0.1111</v>
      </c>
      <c r="D30" s="9" t="inlineStr">
        <is>
          <t>Sí</t>
        </is>
      </c>
      <c r="E30" s="20">
        <f t="shared" si="0"/>
        <v>0</v>
      </c>
    </row>
    <row r="31" spans="1:5" ht="29.1" customHeight="1">
      <c r="A31" s="8" t="s">
        <v>151</v>
      </c>
      <c r="B31" s="8" t="s">
        <v>174</v>
      </c>
      <c r="C31" s="20">
        <v>0.11119999999999999</v>
      </c>
      <c r="D31" s="9" t="inlineStr">
        <is>
          <t>Sí</t>
        </is>
      </c>
      <c r="E31" s="20">
        <f t="shared" si="0"/>
        <v>0</v>
      </c>
    </row>
    <row r="32" spans="1:5" ht="29.1" customHeight="1">
      <c r="A32" s="8" t="s">
        <v>152</v>
      </c>
      <c r="B32" s="8" t="s">
        <v>175</v>
      </c>
      <c r="C32" s="20">
        <v>0.33329999999999999</v>
      </c>
      <c r="D32" s="9" t="inlineStr">
        <is>
          <t>Sí</t>
        </is>
      </c>
      <c r="E32" s="20">
        <f t="shared" si="0"/>
        <v>0</v>
      </c>
    </row>
    <row r="33" spans="1:5" ht="29.1" customHeight="1">
      <c r="A33" s="8" t="s">
        <v>152</v>
      </c>
      <c r="B33" s="8" t="s">
        <v>176</v>
      </c>
      <c r="C33" s="20">
        <v>0.33329999999999999</v>
      </c>
      <c r="D33" s="9" t="inlineStr">
        <is>
          <t>Sí</t>
        </is>
      </c>
      <c r="E33" s="20">
        <f t="shared" si="0"/>
        <v>0</v>
      </c>
    </row>
    <row r="34" spans="1:5" ht="29.1" customHeight="1">
      <c r="A34" s="8" t="s">
        <v>152</v>
      </c>
      <c r="B34" s="8" t="s">
        <v>177</v>
      </c>
      <c r="C34" s="20">
        <v>0.33339999999999997</v>
      </c>
      <c r="D34" s="9" t="inlineStr">
        <is>
          <t>No</t>
        </is>
      </c>
      <c r="E34" s="20">
        <f t="shared" si="0"/>
        <v>0</v>
      </c>
    </row>
    <row r="35" spans="1:5" ht="29.1" customHeight="1">
      <c r="A35" s="8" t="s">
        <v>153</v>
      </c>
      <c r="B35" s="8" t="s">
        <v>178</v>
      </c>
      <c r="C35" s="20">
        <v>1</v>
      </c>
      <c r="D35" s="9" t="inlineStr">
        <is>
          <t>No</t>
        </is>
      </c>
      <c r="E35" s="20">
        <f t="shared" si="0"/>
        <v>0</v>
      </c>
    </row>
    <row r="36" spans="1:5" ht="29.1" customHeight="1">
      <c r="A36" s="8" t="s">
        <v>154</v>
      </c>
      <c r="B36" s="8" t="s">
        <v>179</v>
      </c>
      <c r="C36" s="20">
        <v>1</v>
      </c>
      <c r="D36" s="9" t="inlineStr">
        <is>
          <t>No</t>
        </is>
      </c>
      <c r="E36" s="20">
        <f t="shared" si="0"/>
        <v>0</v>
      </c>
    </row>
    <row r="37" spans="1:5">
      <c r="A37" s="8" t="s">
        <v>155</v>
      </c>
      <c r="B37" s="8" t="s">
        <v>180</v>
      </c>
      <c r="C37" s="20">
        <v>0.1</v>
      </c>
      <c r="D37" s="9" t="inlineStr">
        <is>
          <t>No</t>
        </is>
      </c>
      <c r="E37" s="20">
        <f t="shared" si="0"/>
        <v>0</v>
      </c>
    </row>
    <row r="38" spans="1:5">
      <c r="A38" s="8" t="s">
        <v>155</v>
      </c>
      <c r="B38" s="8" t="s">
        <v>181</v>
      </c>
      <c r="C38" s="20">
        <v>0.2</v>
      </c>
      <c r="D38" s="9" t="inlineStr">
        <is>
          <t>No</t>
        </is>
      </c>
      <c r="E38" s="20">
        <f t="shared" si="0"/>
        <v>0.2</v>
      </c>
    </row>
    <row r="39" spans="1:5" ht="29.1" customHeight="1">
      <c r="A39" s="8" t="s">
        <v>155</v>
      </c>
      <c r="B39" s="8" t="s">
        <v>182</v>
      </c>
      <c r="C39" s="20">
        <v>0.1</v>
      </c>
      <c r="D39" s="9" t="inlineStr">
        <is>
          <t>No</t>
        </is>
      </c>
      <c r="E39" s="20">
        <f t="shared" si="0"/>
        <v>0</v>
      </c>
    </row>
    <row r="40" spans="1:5" ht="29.1" customHeight="1">
      <c r="A40" s="8" t="s">
        <v>155</v>
      </c>
      <c r="B40" s="8" t="s">
        <v>183</v>
      </c>
      <c r="C40" s="20">
        <v>0.1</v>
      </c>
      <c r="D40" s="9" t="inlineStr">
        <is>
          <t>No</t>
        </is>
      </c>
      <c r="E40" s="20">
        <f t="shared" si="0"/>
        <v>0</v>
      </c>
    </row>
    <row r="41" spans="1:5">
      <c r="A41" s="8" t="s">
        <v>155</v>
      </c>
      <c r="B41" s="8" t="s">
        <v>184</v>
      </c>
      <c r="C41" s="20">
        <v>0.1</v>
      </c>
      <c r="D41" s="9" t="inlineStr">
        <is>
          <t>No</t>
        </is>
      </c>
      <c r="E41" s="20">
        <f t="shared" si="0"/>
        <v>0</v>
      </c>
    </row>
    <row r="42" spans="1:5">
      <c r="A42" s="8" t="s">
        <v>155</v>
      </c>
      <c r="B42" s="8" t="s">
        <v>185</v>
      </c>
      <c r="C42" s="20">
        <v>0.1</v>
      </c>
      <c r="D42" s="9" t="inlineStr">
        <is>
          <t>No</t>
        </is>
      </c>
      <c r="E42" s="20">
        <f t="shared" si="0"/>
        <v>0.1</v>
      </c>
    </row>
    <row r="43" spans="1:5" ht="43.5" customHeight="1">
      <c r="A43" s="8" t="s">
        <v>155</v>
      </c>
      <c r="B43" s="8" t="s">
        <v>186</v>
      </c>
      <c r="C43" s="20">
        <v>0.1</v>
      </c>
      <c r="D43" s="9" t="inlineStr">
        <is>
          <t>No</t>
        </is>
      </c>
      <c r="E43" s="20">
        <f t="shared" si="0"/>
        <v>0</v>
      </c>
    </row>
    <row r="44" spans="1:5">
      <c r="A44" s="8" t="s">
        <v>155</v>
      </c>
      <c r="B44" s="8" t="s">
        <v>187</v>
      </c>
      <c r="C44" s="20">
        <v>0.1</v>
      </c>
      <c r="D44" s="9" t="inlineStr">
        <is>
          <t>No</t>
        </is>
      </c>
      <c r="E44" s="20">
        <f t="shared" si="0"/>
        <v>0.1</v>
      </c>
    </row>
    <row r="45" spans="1:5">
      <c r="A45" s="8" t="s">
        <v>155</v>
      </c>
      <c r="B45" s="8" t="s">
        <v>188</v>
      </c>
      <c r="C45" s="20">
        <v>0.1</v>
      </c>
      <c r="D45" s="9" t="inlineStr">
        <is>
          <t>No</t>
        </is>
      </c>
      <c r="E45" s="20">
        <f t="shared" si="0"/>
        <v>0.1</v>
      </c>
    </row>
    <row r="46" spans="1:5">
      <c r="A46" s="8" t="s">
        <v>156</v>
      </c>
      <c r="B46" s="8" t="s">
        <v>189</v>
      </c>
      <c r="C46" s="20">
        <v>0.2</v>
      </c>
      <c r="D46" s="9" t="inlineStr">
        <is>
          <t>No</t>
        </is>
      </c>
      <c r="E46" s="20">
        <f t="shared" si="0"/>
        <v>0.2</v>
      </c>
    </row>
    <row r="47" spans="1:5" ht="29.1" customHeight="1">
      <c r="A47" s="8" t="s">
        <v>156</v>
      </c>
      <c r="B47" s="8" t="s">
        <v>190</v>
      </c>
      <c r="C47" s="20">
        <v>0.2</v>
      </c>
      <c r="D47" s="9" t="inlineStr">
        <is>
          <t>No</t>
        </is>
      </c>
      <c r="E47" s="20">
        <f t="shared" si="0"/>
        <v>0.2</v>
      </c>
    </row>
    <row r="48" spans="1:5" ht="29.1" customHeight="1">
      <c r="A48" s="8" t="s">
        <v>156</v>
      </c>
      <c r="B48" s="8" t="s">
        <v>191</v>
      </c>
      <c r="C48" s="20">
        <v>0.1</v>
      </c>
      <c r="D48" s="9" t="inlineStr">
        <is>
          <t>No</t>
        </is>
      </c>
      <c r="E48" s="20">
        <f t="shared" si="0"/>
        <v>0.1</v>
      </c>
    </row>
    <row r="49" spans="1:5">
      <c r="A49" s="8" t="s">
        <v>156</v>
      </c>
      <c r="B49" s="8" t="s">
        <v>192</v>
      </c>
      <c r="C49" s="20">
        <v>0.02</v>
      </c>
      <c r="D49" s="9" t="inlineStr">
        <is>
          <t>No</t>
        </is>
      </c>
      <c r="E49" s="20">
        <f t="shared" si="0"/>
        <v>0</v>
      </c>
    </row>
    <row r="50" spans="1:5" ht="29.1" customHeight="1">
      <c r="A50" s="8" t="s">
        <v>156</v>
      </c>
      <c r="B50" s="8" t="s">
        <v>193</v>
      </c>
      <c r="C50" s="20">
        <v>0.05</v>
      </c>
      <c r="D50" s="9" t="inlineStr">
        <is>
          <t>No</t>
        </is>
      </c>
      <c r="E50" s="20">
        <f t="shared" si="0"/>
        <v>0.05</v>
      </c>
    </row>
    <row r="51" spans="1:5">
      <c r="A51" s="8" t="s">
        <v>156</v>
      </c>
      <c r="B51" s="8" t="s">
        <v>194</v>
      </c>
      <c r="C51" s="20">
        <v>0.09</v>
      </c>
      <c r="D51" s="9" t="inlineStr">
        <is>
          <t>No</t>
        </is>
      </c>
      <c r="E51" s="20">
        <f t="shared" si="0"/>
        <v>0.09</v>
      </c>
    </row>
    <row r="52" spans="1:5" ht="29.1" customHeight="1">
      <c r="A52" s="8" t="s">
        <v>156</v>
      </c>
      <c r="B52" s="8" t="s">
        <v>195</v>
      </c>
      <c r="C52" s="20">
        <v>0.09</v>
      </c>
      <c r="D52" s="9" t="inlineStr">
        <is>
          <t>No</t>
        </is>
      </c>
      <c r="E52" s="20">
        <f t="shared" si="0"/>
        <v>0.09</v>
      </c>
    </row>
    <row r="53" spans="1:5">
      <c r="A53" s="8" t="s">
        <v>156</v>
      </c>
      <c r="B53" s="8" t="s">
        <v>196</v>
      </c>
      <c r="C53" s="20">
        <v>0.16</v>
      </c>
      <c r="D53" s="9" t="inlineStr">
        <is>
          <t>No</t>
        </is>
      </c>
      <c r="E53" s="20">
        <f t="shared" si="0"/>
        <v>0.16</v>
      </c>
    </row>
    <row r="54" spans="1:5" ht="29.1" customHeight="1">
      <c r="A54" s="8" t="s">
        <v>156</v>
      </c>
      <c r="B54" s="8" t="s">
        <v>197</v>
      </c>
      <c r="C54" s="20">
        <v>0.02</v>
      </c>
      <c r="D54" s="9" t="inlineStr">
        <is>
          <t>No</t>
        </is>
      </c>
      <c r="E54" s="20">
        <f t="shared" si="0"/>
        <v>0</v>
      </c>
    </row>
    <row r="55" spans="1:5" ht="29.1" customHeight="1">
      <c r="A55" s="8" t="s">
        <v>156</v>
      </c>
      <c r="B55" s="8" t="s">
        <v>198</v>
      </c>
      <c r="C55" s="20">
        <v>0.05</v>
      </c>
      <c r="D55" s="9" t="inlineStr">
        <is>
          <t>No</t>
        </is>
      </c>
      <c r="E55" s="20">
        <f t="shared" si="0"/>
        <v>0.05</v>
      </c>
    </row>
    <row r="56" spans="1:5" ht="29.1" customHeight="1">
      <c r="A56" s="8" t="s">
        <v>156</v>
      </c>
      <c r="B56" s="8" t="s">
        <v>199</v>
      </c>
      <c r="C56" s="20">
        <v>0.02</v>
      </c>
      <c r="D56" s="9" t="inlineStr">
        <is>
          <t>No</t>
        </is>
      </c>
      <c r="E56" s="20">
        <f t="shared" si="0"/>
        <v>0</v>
      </c>
    </row>
    <row r="57" spans="1:5" ht="29.1" customHeight="1">
      <c r="A57" s="8" t="s">
        <v>157</v>
      </c>
      <c r="B57" s="8" t="s">
        <v>200</v>
      </c>
      <c r="C57" s="20">
        <v>0.3</v>
      </c>
      <c r="D57" s="9" t="inlineStr">
        <is>
          <t>No</t>
        </is>
      </c>
      <c r="E57" s="20">
        <f t="shared" si="0"/>
        <v>0</v>
      </c>
    </row>
    <row r="58" spans="1:5">
      <c r="A58" s="8" t="s">
        <v>157</v>
      </c>
      <c r="B58" s="8" t="s">
        <v>201</v>
      </c>
      <c r="C58" s="20">
        <v>0.2</v>
      </c>
      <c r="D58" s="9" t="inlineStr">
        <is>
          <t>No</t>
        </is>
      </c>
      <c r="E58" s="20">
        <f t="shared" si="0"/>
        <v>0</v>
      </c>
    </row>
    <row r="59" spans="1:5" ht="29.1" customHeight="1">
      <c r="A59" s="8" t="s">
        <v>157</v>
      </c>
      <c r="B59" s="8" t="s">
        <v>202</v>
      </c>
      <c r="C59" s="20">
        <v>0.3</v>
      </c>
      <c r="D59" s="9" t="inlineStr">
        <is>
          <t>No</t>
        </is>
      </c>
      <c r="E59" s="20">
        <f t="shared" si="0"/>
        <v>0</v>
      </c>
    </row>
    <row r="60" spans="1:5">
      <c r="A60" s="8" t="s">
        <v>157</v>
      </c>
      <c r="B60" s="8" t="s">
        <v>203</v>
      </c>
      <c r="C60" s="20">
        <v>0.2</v>
      </c>
      <c r="D60" s="9" t="inlineStr">
        <is>
          <t>No</t>
        </is>
      </c>
      <c r="E60" s="20">
        <f t="shared" si="0"/>
        <v>0</v>
      </c>
    </row>
    <row r="61" spans="1:5">
      <c r="A61" s="38" t="s">
        <v>204</v>
      </c>
      <c r="B61" s="37"/>
      <c r="C61" s="37"/>
      <c r="D61" s="37"/>
      <c r="E61" s="37"/>
    </row>
  </sheetData>
  <mergeCells count="3">
    <mergeCell ref="A61:E61"/>
    <mergeCell ref="A1:E1"/>
    <mergeCell ref="D2:E2"/>
  </mergeCells>
  <dataValidations count="1">
    <dataValidation type="list" allowBlank="1" sqref="D18:D60" xr:uid="{00000000-0002-0000-0300-000000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showGridLines="0" topLeftCell="A6" zoomScaleNormal="100" workbookViewId="0">
      <selection sqref="A1:E1"/>
    </sheetView>
  </sheetViews>
  <sheetFormatPr defaultColWidth="8.5703125" defaultRowHeight="14.45"/>
  <cols>
    <col min="1" max="1" width="34" customWidth="1"/>
    <col min="2" max="2" width="50" customWidth="1"/>
    <col min="3" max="3" width="12" customWidth="1"/>
    <col min="4" max="4" width="10" customWidth="1"/>
    <col min="5" max="5" width="12" customWidth="1"/>
  </cols>
  <sheetData>
    <row r="1" spans="1:5" ht="16.5" customHeight="1">
      <c r="A1" s="41" t="s">
        <v>142</v>
      </c>
      <c r="B1" s="37"/>
      <c r="C1" s="37"/>
      <c r="D1" s="37"/>
      <c r="E1" s="37"/>
    </row>
    <row r="2" spans="1:5">
      <c r="A2" s="5" t="s">
        <v>143</v>
      </c>
      <c r="B2" s="17" t="inlineStr">
        <is>
          <t>P08</t>
        </is>
      </c>
      <c r="C2" s="5" t="s">
        <v>144</v>
      </c>
      <c r="D2" s="37" t="str">
        <f>IFERROR(INDEX('2. Priorización Automatización'!$B$4:$B$18,MATCH(B2,'2. Priorización Automatización'!$A$4:$A$18,0)),"")</f>
        <v>Monitoreo de disponibilidad y alertas de switches y puntos de acceso</v>
      </c>
      <c r="E2" s="37"/>
    </row>
    <row r="3" spans="1:5">
      <c r="A3" s="2" t="s">
        <v>145</v>
      </c>
      <c r="B3" s="2" t="str">
        <f>'0. Datos Empresa'!$B$4</f>
        <v>UNIVERSIDAD EAFIT</v>
      </c>
    </row>
    <row r="5" spans="1:5">
      <c r="A5" s="5" t="s">
        <v>146</v>
      </c>
      <c r="D5" s="5" t="s">
        <v>147</v>
      </c>
      <c r="E5" s="6" t="str">
        <f>IFERROR(INDEX(A7:A14,MATCH(MAX(B7:B14),B7:B14,0)),"")</f>
        <v>Estandarizar + Mejora Continua</v>
      </c>
    </row>
    <row r="6" spans="1:5">
      <c r="A6" s="5" t="s">
        <v>148</v>
      </c>
      <c r="B6" s="5" t="s">
        <v>149</v>
      </c>
    </row>
    <row r="7" spans="1:5">
      <c r="A7" s="11" t="s">
        <v>150</v>
      </c>
      <c r="B7" s="18">
        <f>SUM(E18:E22)</f>
        <v>0</v>
      </c>
    </row>
    <row r="8" spans="1:5">
      <c r="A8" s="11" t="s">
        <v>151</v>
      </c>
      <c r="B8" s="18">
        <f>SUM(E23:E31)</f>
        <v>0</v>
      </c>
    </row>
    <row r="9" spans="1:5">
      <c r="A9" s="11" t="s">
        <v>152</v>
      </c>
      <c r="B9" s="18">
        <f>SUM(E32:E34)</f>
        <v>0</v>
      </c>
    </row>
    <row r="10" spans="1:5">
      <c r="A10" s="11" t="s">
        <v>153</v>
      </c>
      <c r="B10" s="18">
        <f>SUM(E35:E35)</f>
        <v>0</v>
      </c>
    </row>
    <row r="11" spans="1:5">
      <c r="A11" s="11" t="s">
        <v>154</v>
      </c>
      <c r="B11" s="18">
        <f>SUM(E36:E36)</f>
        <v>0</v>
      </c>
    </row>
    <row r="12" spans="1:5">
      <c r="A12" s="11" t="s">
        <v>155</v>
      </c>
      <c r="B12" s="18">
        <f>SUM(E37:E45)</f>
        <v>0.5</v>
      </c>
    </row>
    <row r="13" spans="1:5">
      <c r="A13" s="11" t="s">
        <v>156</v>
      </c>
      <c r="B13" s="18">
        <f>SUM(E46:E56)</f>
        <v>0.94000000000000006</v>
      </c>
    </row>
    <row r="14" spans="1:5">
      <c r="A14" s="11" t="s">
        <v>157</v>
      </c>
      <c r="B14" s="18">
        <f>SUM(E57:E60)</f>
        <v>0</v>
      </c>
    </row>
    <row r="16" spans="1:5">
      <c r="A16" s="5" t="s">
        <v>158</v>
      </c>
    </row>
    <row r="17" spans="1:5">
      <c r="A17" s="19" t="s">
        <v>148</v>
      </c>
      <c r="B17" s="19" t="s">
        <v>159</v>
      </c>
      <c r="C17" s="19" t="s">
        <v>160</v>
      </c>
      <c r="D17" s="19" t="s">
        <v>161</v>
      </c>
      <c r="E17" s="19" t="s">
        <v>149</v>
      </c>
    </row>
    <row r="18" spans="1:5" ht="29.1" customHeight="1">
      <c r="A18" s="8" t="s">
        <v>150</v>
      </c>
      <c r="B18" s="8" t="s">
        <v>162</v>
      </c>
      <c r="C18" s="20">
        <v>0.2</v>
      </c>
      <c r="D18" s="9" t="inlineStr">
        <is>
          <t>Sí</t>
        </is>
      </c>
      <c r="E18" s="20">
        <f t="shared" ref="E18:E60" si="0">IF(D18="",0,IF(D18="Sí",C18,0))</f>
        <v>0</v>
      </c>
    </row>
    <row r="19" spans="1:5">
      <c r="A19" s="8" t="s">
        <v>150</v>
      </c>
      <c r="B19" s="8" t="s">
        <v>163</v>
      </c>
      <c r="C19" s="20">
        <v>0.2</v>
      </c>
      <c r="D19" s="9" t="inlineStr">
        <is>
          <t>Sí</t>
        </is>
      </c>
      <c r="E19" s="20">
        <f t="shared" si="0"/>
        <v>0</v>
      </c>
    </row>
    <row r="20" spans="1:5" ht="29.1" customHeight="1">
      <c r="A20" s="8" t="s">
        <v>150</v>
      </c>
      <c r="B20" s="8" t="s">
        <v>164</v>
      </c>
      <c r="C20" s="20">
        <v>0.2</v>
      </c>
      <c r="D20" s="9" t="inlineStr">
        <is>
          <t>Sí</t>
        </is>
      </c>
      <c r="E20" s="20">
        <f t="shared" si="0"/>
        <v>0</v>
      </c>
    </row>
    <row r="21" spans="1:5">
      <c r="A21" s="8" t="s">
        <v>150</v>
      </c>
      <c r="B21" s="8" t="s">
        <v>165</v>
      </c>
      <c r="C21" s="20">
        <v>0.2</v>
      </c>
      <c r="D21" s="9" t="inlineStr">
        <is>
          <t>Sí</t>
        </is>
      </c>
      <c r="E21" s="20">
        <f t="shared" si="0"/>
        <v>0</v>
      </c>
    </row>
    <row r="22" spans="1:5" ht="29.1" customHeight="1">
      <c r="A22" s="8" t="s">
        <v>150</v>
      </c>
      <c r="B22" s="8" t="s">
        <v>166</v>
      </c>
      <c r="C22" s="20">
        <v>0.2</v>
      </c>
      <c r="D22" s="9" t="inlineStr">
        <is>
          <t>Sí</t>
        </is>
      </c>
      <c r="E22" s="20">
        <f t="shared" si="0"/>
        <v>0</v>
      </c>
    </row>
    <row r="23" spans="1:5" ht="29.1" customHeight="1">
      <c r="A23" s="8" t="s">
        <v>151</v>
      </c>
      <c r="B23" s="8" t="s">
        <v>167</v>
      </c>
      <c r="C23" s="20">
        <v>0.1111</v>
      </c>
      <c r="D23" s="9" t="inlineStr">
        <is>
          <t>Sí</t>
        </is>
      </c>
      <c r="E23" s="20">
        <f t="shared" si="0"/>
        <v>0</v>
      </c>
    </row>
    <row r="24" spans="1:5">
      <c r="A24" s="8" t="s">
        <v>151</v>
      </c>
      <c r="B24" s="8" t="s">
        <v>139</v>
      </c>
      <c r="C24" s="20">
        <v>0.1111</v>
      </c>
      <c r="D24" s="9" t="inlineStr">
        <is>
          <t>Sí</t>
        </is>
      </c>
      <c r="E24" s="20">
        <f t="shared" si="0"/>
        <v>0</v>
      </c>
    </row>
    <row r="25" spans="1:5" ht="29.1" customHeight="1">
      <c r="A25" s="8" t="s">
        <v>151</v>
      </c>
      <c r="B25" s="8" t="s">
        <v>168</v>
      </c>
      <c r="C25" s="20">
        <v>0.1111</v>
      </c>
      <c r="D25" s="9" t="inlineStr">
        <is>
          <t>Sí</t>
        </is>
      </c>
      <c r="E25" s="20">
        <f t="shared" si="0"/>
        <v>0</v>
      </c>
    </row>
    <row r="26" spans="1:5">
      <c r="A26" s="8" t="s">
        <v>151</v>
      </c>
      <c r="B26" s="8" t="s">
        <v>169</v>
      </c>
      <c r="C26" s="20">
        <v>0.1111</v>
      </c>
      <c r="D26" s="9" t="inlineStr">
        <is>
          <t>No</t>
        </is>
      </c>
      <c r="E26" s="20">
        <f t="shared" si="0"/>
        <v>0</v>
      </c>
    </row>
    <row r="27" spans="1:5">
      <c r="A27" s="8" t="s">
        <v>151</v>
      </c>
      <c r="B27" s="8" t="s">
        <v>170</v>
      </c>
      <c r="C27" s="20">
        <v>0.1111</v>
      </c>
      <c r="D27" s="9" t="inlineStr">
        <is>
          <t>No</t>
        </is>
      </c>
      <c r="E27" s="20">
        <f t="shared" si="0"/>
        <v>0</v>
      </c>
    </row>
    <row r="28" spans="1:5">
      <c r="A28" s="8" t="s">
        <v>151</v>
      </c>
      <c r="B28" s="8" t="s">
        <v>171</v>
      </c>
      <c r="C28" s="20">
        <v>0.1111</v>
      </c>
      <c r="D28" s="9" t="inlineStr">
        <is>
          <t>No</t>
        </is>
      </c>
      <c r="E28" s="20">
        <f t="shared" si="0"/>
        <v>0</v>
      </c>
    </row>
    <row r="29" spans="1:5" ht="29.1" customHeight="1">
      <c r="A29" s="8" t="s">
        <v>151</v>
      </c>
      <c r="B29" s="8" t="s">
        <v>172</v>
      </c>
      <c r="C29" s="20">
        <v>0.1111</v>
      </c>
      <c r="D29" s="9" t="inlineStr">
        <is>
          <t>No</t>
        </is>
      </c>
      <c r="E29" s="20">
        <f t="shared" si="0"/>
        <v>0</v>
      </c>
    </row>
    <row r="30" spans="1:5" ht="29.1" customHeight="1">
      <c r="A30" s="8" t="s">
        <v>151</v>
      </c>
      <c r="B30" s="8" t="s">
        <v>173</v>
      </c>
      <c r="C30" s="20">
        <v>0.1111</v>
      </c>
      <c r="D30" s="9" t="inlineStr">
        <is>
          <t>No</t>
        </is>
      </c>
      <c r="E30" s="20">
        <f t="shared" si="0"/>
        <v>0</v>
      </c>
    </row>
    <row r="31" spans="1:5" ht="29.1" customHeight="1">
      <c r="A31" s="8" t="s">
        <v>151</v>
      </c>
      <c r="B31" s="8" t="s">
        <v>174</v>
      </c>
      <c r="C31" s="20">
        <v>0.11119999999999999</v>
      </c>
      <c r="D31" s="9" t="inlineStr">
        <is>
          <t>No</t>
        </is>
      </c>
      <c r="E31" s="20">
        <f t="shared" si="0"/>
        <v>0</v>
      </c>
    </row>
    <row r="32" spans="1:5" ht="29.1" customHeight="1">
      <c r="A32" s="8" t="s">
        <v>152</v>
      </c>
      <c r="B32" s="8" t="s">
        <v>175</v>
      </c>
      <c r="C32" s="20">
        <v>0.33329999999999999</v>
      </c>
      <c r="D32" s="9" t="inlineStr">
        <is>
          <t>No</t>
        </is>
      </c>
      <c r="E32" s="20">
        <f t="shared" si="0"/>
        <v>0</v>
      </c>
    </row>
    <row r="33" spans="1:5" ht="29.1" customHeight="1">
      <c r="A33" s="8" t="s">
        <v>152</v>
      </c>
      <c r="B33" s="8" t="s">
        <v>176</v>
      </c>
      <c r="C33" s="20">
        <v>0.33329999999999999</v>
      </c>
      <c r="D33" s="9" t="inlineStr">
        <is>
          <t>No</t>
        </is>
      </c>
      <c r="E33" s="20">
        <f t="shared" si="0"/>
        <v>0</v>
      </c>
    </row>
    <row r="34" spans="1:5" ht="29.1" customHeight="1">
      <c r="A34" s="8" t="s">
        <v>152</v>
      </c>
      <c r="B34" s="8" t="s">
        <v>177</v>
      </c>
      <c r="C34" s="20">
        <v>0.33339999999999997</v>
      </c>
      <c r="D34" s="9" t="inlineStr">
        <is>
          <t>No</t>
        </is>
      </c>
      <c r="E34" s="20">
        <f t="shared" si="0"/>
        <v>0</v>
      </c>
    </row>
    <row r="35" spans="1:5" ht="29.1" customHeight="1">
      <c r="A35" s="8" t="s">
        <v>153</v>
      </c>
      <c r="B35" s="8" t="s">
        <v>178</v>
      </c>
      <c r="C35" s="20">
        <v>1</v>
      </c>
      <c r="D35" s="9" t="inlineStr">
        <is>
          <t>No</t>
        </is>
      </c>
      <c r="E35" s="20">
        <f t="shared" si="0"/>
        <v>0</v>
      </c>
    </row>
    <row r="36" spans="1:5" ht="29.1" customHeight="1">
      <c r="A36" s="8" t="s">
        <v>154</v>
      </c>
      <c r="B36" s="8" t="s">
        <v>179</v>
      </c>
      <c r="C36" s="20">
        <v>1</v>
      </c>
      <c r="D36" s="9" t="inlineStr">
        <is>
          <t>No</t>
        </is>
      </c>
      <c r="E36" s="20">
        <f t="shared" si="0"/>
        <v>0</v>
      </c>
    </row>
    <row r="37" spans="1:5">
      <c r="A37" s="8" t="s">
        <v>155</v>
      </c>
      <c r="B37" s="8" t="s">
        <v>180</v>
      </c>
      <c r="C37" s="20">
        <v>0.1</v>
      </c>
      <c r="D37" s="9" t="inlineStr">
        <is>
          <t>No</t>
        </is>
      </c>
      <c r="E37" s="20">
        <f t="shared" si="0"/>
        <v>0</v>
      </c>
    </row>
    <row r="38" spans="1:5">
      <c r="A38" s="8" t="s">
        <v>155</v>
      </c>
      <c r="B38" s="8" t="s">
        <v>181</v>
      </c>
      <c r="C38" s="20">
        <v>0.2</v>
      </c>
      <c r="D38" s="9" t="inlineStr">
        <is>
          <t>No</t>
        </is>
      </c>
      <c r="E38" s="20">
        <f t="shared" si="0"/>
        <v>0.2</v>
      </c>
    </row>
    <row r="39" spans="1:5" ht="29.1" customHeight="1">
      <c r="A39" s="8" t="s">
        <v>155</v>
      </c>
      <c r="B39" s="8" t="s">
        <v>182</v>
      </c>
      <c r="C39" s="20">
        <v>0.1</v>
      </c>
      <c r="D39" s="9" t="inlineStr">
        <is>
          <t>No</t>
        </is>
      </c>
      <c r="E39" s="20">
        <f t="shared" si="0"/>
        <v>0</v>
      </c>
    </row>
    <row r="40" spans="1:5" ht="29.1" customHeight="1">
      <c r="A40" s="8" t="s">
        <v>155</v>
      </c>
      <c r="B40" s="8" t="s">
        <v>183</v>
      </c>
      <c r="C40" s="20">
        <v>0.1</v>
      </c>
      <c r="D40" s="9" t="inlineStr">
        <is>
          <t>No</t>
        </is>
      </c>
      <c r="E40" s="20">
        <f t="shared" si="0"/>
        <v>0</v>
      </c>
    </row>
    <row r="41" spans="1:5">
      <c r="A41" s="8" t="s">
        <v>155</v>
      </c>
      <c r="B41" s="8" t="s">
        <v>184</v>
      </c>
      <c r="C41" s="20">
        <v>0.1</v>
      </c>
      <c r="D41" s="9" t="inlineStr">
        <is>
          <t>No</t>
        </is>
      </c>
      <c r="E41" s="20">
        <f t="shared" si="0"/>
        <v>0</v>
      </c>
    </row>
    <row r="42" spans="1:5">
      <c r="A42" s="8" t="s">
        <v>155</v>
      </c>
      <c r="B42" s="8" t="s">
        <v>185</v>
      </c>
      <c r="C42" s="20">
        <v>0.1</v>
      </c>
      <c r="D42" s="9" t="inlineStr">
        <is>
          <t>No</t>
        </is>
      </c>
      <c r="E42" s="20">
        <f t="shared" si="0"/>
        <v>0.1</v>
      </c>
    </row>
    <row r="43" spans="1:5" ht="43.5" customHeight="1">
      <c r="A43" s="8" t="s">
        <v>155</v>
      </c>
      <c r="B43" s="8" t="s">
        <v>186</v>
      </c>
      <c r="C43" s="20">
        <v>0.1</v>
      </c>
      <c r="D43" s="9" t="inlineStr">
        <is>
          <t>No</t>
        </is>
      </c>
      <c r="E43" s="20">
        <f t="shared" si="0"/>
        <v>0</v>
      </c>
    </row>
    <row r="44" spans="1:5">
      <c r="A44" s="8" t="s">
        <v>155</v>
      </c>
      <c r="B44" s="8" t="s">
        <v>187</v>
      </c>
      <c r="C44" s="20">
        <v>0.1</v>
      </c>
      <c r="D44" s="9" t="inlineStr">
        <is>
          <t>No</t>
        </is>
      </c>
      <c r="E44" s="20">
        <f t="shared" si="0"/>
        <v>0.1</v>
      </c>
    </row>
    <row r="45" spans="1:5">
      <c r="A45" s="8" t="s">
        <v>155</v>
      </c>
      <c r="B45" s="8" t="s">
        <v>188</v>
      </c>
      <c r="C45" s="20">
        <v>0.1</v>
      </c>
      <c r="D45" s="9" t="inlineStr">
        <is>
          <t>No</t>
        </is>
      </c>
      <c r="E45" s="20">
        <f t="shared" si="0"/>
        <v>0.1</v>
      </c>
    </row>
    <row r="46" spans="1:5">
      <c r="A46" s="8" t="s">
        <v>156</v>
      </c>
      <c r="B46" s="8" t="s">
        <v>189</v>
      </c>
      <c r="C46" s="20">
        <v>0.2</v>
      </c>
      <c r="D46" s="9" t="inlineStr">
        <is>
          <t>No</t>
        </is>
      </c>
      <c r="E46" s="20">
        <f t="shared" si="0"/>
        <v>0.2</v>
      </c>
    </row>
    <row r="47" spans="1:5" ht="29.1" customHeight="1">
      <c r="A47" s="8" t="s">
        <v>156</v>
      </c>
      <c r="B47" s="8" t="s">
        <v>190</v>
      </c>
      <c r="C47" s="20">
        <v>0.2</v>
      </c>
      <c r="D47" s="9" t="inlineStr">
        <is>
          <t>No</t>
        </is>
      </c>
      <c r="E47" s="20">
        <f t="shared" si="0"/>
        <v>0.2</v>
      </c>
    </row>
    <row r="48" spans="1:5" ht="29.1" customHeight="1">
      <c r="A48" s="8" t="s">
        <v>156</v>
      </c>
      <c r="B48" s="8" t="s">
        <v>191</v>
      </c>
      <c r="C48" s="20">
        <v>0.1</v>
      </c>
      <c r="D48" s="9" t="inlineStr">
        <is>
          <t>No</t>
        </is>
      </c>
      <c r="E48" s="20">
        <f t="shared" si="0"/>
        <v>0.1</v>
      </c>
    </row>
    <row r="49" spans="1:5">
      <c r="A49" s="8" t="s">
        <v>156</v>
      </c>
      <c r="B49" s="8" t="s">
        <v>192</v>
      </c>
      <c r="C49" s="20">
        <v>0.02</v>
      </c>
      <c r="D49" s="9" t="inlineStr">
        <is>
          <t>No</t>
        </is>
      </c>
      <c r="E49" s="20">
        <f t="shared" si="0"/>
        <v>0</v>
      </c>
    </row>
    <row r="50" spans="1:5" ht="29.1" customHeight="1">
      <c r="A50" s="8" t="s">
        <v>156</v>
      </c>
      <c r="B50" s="8" t="s">
        <v>193</v>
      </c>
      <c r="C50" s="20">
        <v>0.05</v>
      </c>
      <c r="D50" s="9" t="inlineStr">
        <is>
          <t>No</t>
        </is>
      </c>
      <c r="E50" s="20">
        <f t="shared" si="0"/>
        <v>0.05</v>
      </c>
    </row>
    <row r="51" spans="1:5">
      <c r="A51" s="8" t="s">
        <v>156</v>
      </c>
      <c r="B51" s="8" t="s">
        <v>194</v>
      </c>
      <c r="C51" s="20">
        <v>0.09</v>
      </c>
      <c r="D51" s="9" t="inlineStr">
        <is>
          <t>No</t>
        </is>
      </c>
      <c r="E51" s="20">
        <f t="shared" si="0"/>
        <v>0.09</v>
      </c>
    </row>
    <row r="52" spans="1:5" ht="29.1" customHeight="1">
      <c r="A52" s="8" t="s">
        <v>156</v>
      </c>
      <c r="B52" s="8" t="s">
        <v>195</v>
      </c>
      <c r="C52" s="20">
        <v>0.09</v>
      </c>
      <c r="D52" s="9" t="inlineStr">
        <is>
          <t>No</t>
        </is>
      </c>
      <c r="E52" s="20">
        <f t="shared" si="0"/>
        <v>0.09</v>
      </c>
    </row>
    <row r="53" spans="1:5">
      <c r="A53" s="8" t="s">
        <v>156</v>
      </c>
      <c r="B53" s="8" t="s">
        <v>196</v>
      </c>
      <c r="C53" s="20">
        <v>0.16</v>
      </c>
      <c r="D53" s="9" t="inlineStr">
        <is>
          <t>No</t>
        </is>
      </c>
      <c r="E53" s="20">
        <f t="shared" si="0"/>
        <v>0.16</v>
      </c>
    </row>
    <row r="54" spans="1:5" ht="29.1" customHeight="1">
      <c r="A54" s="8" t="s">
        <v>156</v>
      </c>
      <c r="B54" s="8" t="s">
        <v>197</v>
      </c>
      <c r="C54" s="20">
        <v>0.02</v>
      </c>
      <c r="D54" s="9" t="inlineStr">
        <is>
          <t>No</t>
        </is>
      </c>
      <c r="E54" s="20">
        <f t="shared" si="0"/>
        <v>0</v>
      </c>
    </row>
    <row r="55" spans="1:5" ht="29.1" customHeight="1">
      <c r="A55" s="8" t="s">
        <v>156</v>
      </c>
      <c r="B55" s="8" t="s">
        <v>198</v>
      </c>
      <c r="C55" s="20">
        <v>0.05</v>
      </c>
      <c r="D55" s="9" t="inlineStr">
        <is>
          <t>No</t>
        </is>
      </c>
      <c r="E55" s="20">
        <f t="shared" si="0"/>
        <v>0.05</v>
      </c>
    </row>
    <row r="56" spans="1:5" ht="29.1" customHeight="1">
      <c r="A56" s="8" t="s">
        <v>156</v>
      </c>
      <c r="B56" s="8" t="s">
        <v>199</v>
      </c>
      <c r="C56" s="20">
        <v>0.02</v>
      </c>
      <c r="D56" s="9" t="inlineStr">
        <is>
          <t>No</t>
        </is>
      </c>
      <c r="E56" s="20">
        <f t="shared" si="0"/>
        <v>0</v>
      </c>
    </row>
    <row r="57" spans="1:5" ht="29.1" customHeight="1">
      <c r="A57" s="8" t="s">
        <v>157</v>
      </c>
      <c r="B57" s="8" t="s">
        <v>200</v>
      </c>
      <c r="C57" s="20">
        <v>0.3</v>
      </c>
      <c r="D57" s="9" t="inlineStr">
        <is>
          <t>No</t>
        </is>
      </c>
      <c r="E57" s="20">
        <f t="shared" si="0"/>
        <v>0</v>
      </c>
    </row>
    <row r="58" spans="1:5">
      <c r="A58" s="8" t="s">
        <v>157</v>
      </c>
      <c r="B58" s="8" t="s">
        <v>201</v>
      </c>
      <c r="C58" s="20">
        <v>0.2</v>
      </c>
      <c r="D58" s="9" t="inlineStr">
        <is>
          <t>No</t>
        </is>
      </c>
      <c r="E58" s="20">
        <f t="shared" si="0"/>
        <v>0</v>
      </c>
    </row>
    <row r="59" spans="1:5" ht="29.1" customHeight="1">
      <c r="A59" s="8" t="s">
        <v>157</v>
      </c>
      <c r="B59" s="8" t="s">
        <v>202</v>
      </c>
      <c r="C59" s="20">
        <v>0.3</v>
      </c>
      <c r="D59" s="9" t="inlineStr">
        <is>
          <t>No</t>
        </is>
      </c>
      <c r="E59" s="20">
        <f t="shared" si="0"/>
        <v>0</v>
      </c>
    </row>
    <row r="60" spans="1:5">
      <c r="A60" s="8" t="s">
        <v>157</v>
      </c>
      <c r="B60" s="8" t="s">
        <v>203</v>
      </c>
      <c r="C60" s="20">
        <v>0.2</v>
      </c>
      <c r="D60" s="9" t="inlineStr">
        <is>
          <t>No</t>
        </is>
      </c>
      <c r="E60" s="20">
        <f t="shared" si="0"/>
        <v>0</v>
      </c>
    </row>
    <row r="61" spans="1:5">
      <c r="A61" s="38" t="s">
        <v>204</v>
      </c>
      <c r="B61" s="37"/>
      <c r="C61" s="37"/>
      <c r="D61" s="37"/>
      <c r="E61" s="37"/>
    </row>
  </sheetData>
  <mergeCells count="3">
    <mergeCell ref="A61:E61"/>
    <mergeCell ref="A1:E1"/>
    <mergeCell ref="D2:E2"/>
  </mergeCells>
  <dataValidations count="1">
    <dataValidation type="list" allowBlank="1" sqref="D18:D60" xr:uid="{00000000-0002-0000-0300-000000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2026-09-28T19:41:18Z</dcterms:created>
  <dcterms:modified xsi:type="dcterms:W3CDTF">2026-10-15T22:07:07Z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0x0101009201E37223A2354A9647EDC97194A707</vt:lpwstr>
  </property>
  <property fmtid="{D5CDD505-2E9C-101B-9397-08002B2CF9AE}" pid="3" name="MediaServiceImageTags">
    <vt:lpwstr/>
  </property>
</Properties>
</file>