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eafit-my.sharepoint.com/personal/emesamun_eafit_edu_co/Documents/Escritorio/"/>
    </mc:Choice>
  </mc:AlternateContent>
  <xr:revisionPtr revIDLastSave="0" documentId="8_{3394E7C7-094A-45F8-9D6A-1432266FFA1E}" xr6:coauthVersionLast="47" xr6:coauthVersionMax="47" xr10:uidLastSave="{00000000-0000-0000-0000-000000000000}"/>
  <bookViews>
    <workbookView xWindow="-110" yWindow="-110" windowWidth="19420" windowHeight="11500" tabRatio="500" firstSheet="4" activeTab="4" xr2:uid="{00000000-000D-0000-FFFF-FFFF00000000}"/>
  </bookViews>
  <sheets>
    <sheet name="0. Instrucciones" sheetId="1" r:id="rId1"/>
    <sheet name="1. Datos Empresa" sheetId="2" r:id="rId2"/>
    <sheet name="2. Diagnóstico" sheetId="3" r:id="rId3"/>
    <sheet name="3. Resultados x Dimensión" sheetId="4" r:id="rId4"/>
    <sheet name="4. Radar y Dashboard" sheetId="5" r:id="rId5"/>
    <sheet name="5. Brechas y Priorización" sheetId="6" r:id="rId6"/>
    <sheet name="Hoja1" sheetId="7" state="hidden" r:id="rId7"/>
    <sheet name="6. Iniciativas y Hoja de Ruta" sheetId="8" r:id="rId8"/>
  </sheets>
  <calcPr calcId="191028" iterateDelta="1E-4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6" l="1"/>
  <c r="B37" i="6"/>
  <c r="A37" i="6"/>
  <c r="D36" i="6"/>
  <c r="C36" i="6"/>
  <c r="B36" i="6"/>
  <c r="A36" i="6"/>
  <c r="C35" i="6"/>
  <c r="B35" i="6"/>
  <c r="A35" i="6"/>
  <c r="C34" i="6"/>
  <c r="B34" i="6"/>
  <c r="A34" i="6"/>
  <c r="C33" i="6"/>
  <c r="B33" i="6"/>
  <c r="A33" i="6"/>
  <c r="D32" i="6"/>
  <c r="C32" i="6"/>
  <c r="B32" i="6"/>
  <c r="A32" i="6"/>
  <c r="C31" i="6"/>
  <c r="B31" i="6"/>
  <c r="A31" i="6"/>
  <c r="C30" i="6"/>
  <c r="B30" i="6"/>
  <c r="A30" i="6"/>
  <c r="C29" i="6"/>
  <c r="B29" i="6"/>
  <c r="A29" i="6"/>
  <c r="D28" i="6"/>
  <c r="C28" i="6"/>
  <c r="B28" i="6"/>
  <c r="A28" i="6"/>
  <c r="C27" i="6"/>
  <c r="B27" i="6"/>
  <c r="A27" i="6"/>
  <c r="C26" i="6"/>
  <c r="B26" i="6"/>
  <c r="A26" i="6"/>
  <c r="C25" i="6"/>
  <c r="B25" i="6"/>
  <c r="A25" i="6"/>
  <c r="D24" i="6"/>
  <c r="C24" i="6"/>
  <c r="B24" i="6"/>
  <c r="A24" i="6"/>
  <c r="C23" i="6"/>
  <c r="B23" i="6"/>
  <c r="A23" i="6"/>
  <c r="C22" i="6"/>
  <c r="B22" i="6"/>
  <c r="A22" i="6"/>
  <c r="C21" i="6"/>
  <c r="B21" i="6"/>
  <c r="A21" i="6"/>
  <c r="D20" i="6"/>
  <c r="C20" i="6"/>
  <c r="B20" i="6"/>
  <c r="A20" i="6"/>
  <c r="C19" i="6"/>
  <c r="B19" i="6"/>
  <c r="A19" i="6"/>
  <c r="C18" i="6"/>
  <c r="B18" i="6"/>
  <c r="A18" i="6"/>
  <c r="C17" i="6"/>
  <c r="B17" i="6"/>
  <c r="A17" i="6"/>
  <c r="D16" i="6"/>
  <c r="G16" i="6" s="1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A12" i="6"/>
  <c r="D11" i="6"/>
  <c r="C11" i="6"/>
  <c r="B11" i="6"/>
  <c r="A11" i="6"/>
  <c r="C10" i="6"/>
  <c r="B10" i="6"/>
  <c r="A10" i="6"/>
  <c r="C9" i="6"/>
  <c r="B9" i="6"/>
  <c r="A9" i="6"/>
  <c r="D8" i="6"/>
  <c r="C8" i="6"/>
  <c r="B8" i="6"/>
  <c r="A8" i="6"/>
  <c r="D7" i="6"/>
  <c r="C7" i="6"/>
  <c r="B7" i="6"/>
  <c r="A7" i="6"/>
  <c r="C6" i="6"/>
  <c r="B6" i="6"/>
  <c r="A6" i="6"/>
  <c r="D14" i="8" s="1"/>
  <c r="C5" i="6"/>
  <c r="B5" i="6"/>
  <c r="A5" i="6"/>
  <c r="C4" i="6"/>
  <c r="B4" i="6"/>
  <c r="A4" i="6"/>
  <c r="C3" i="6"/>
  <c r="B3" i="6"/>
  <c r="A3" i="6"/>
  <c r="C2" i="6"/>
  <c r="B2" i="6"/>
  <c r="A2" i="6"/>
  <c r="D15" i="8" s="1"/>
  <c r="A14" i="5"/>
  <c r="A13" i="5"/>
  <c r="A12" i="5"/>
  <c r="A11" i="5"/>
  <c r="A10" i="5"/>
  <c r="A9" i="5"/>
  <c r="A8" i="5"/>
  <c r="B9" i="4"/>
  <c r="D8" i="4"/>
  <c r="C14" i="5" s="1"/>
  <c r="C8" i="4"/>
  <c r="B14" i="5" s="1"/>
  <c r="D7" i="4"/>
  <c r="C13" i="5" s="1"/>
  <c r="C7" i="4"/>
  <c r="B13" i="5" s="1"/>
  <c r="D6" i="4"/>
  <c r="C12" i="5" s="1"/>
  <c r="C6" i="4"/>
  <c r="B12" i="5" s="1"/>
  <c r="D5" i="4"/>
  <c r="C11" i="5" s="1"/>
  <c r="C5" i="4"/>
  <c r="B11" i="5" s="1"/>
  <c r="D4" i="4"/>
  <c r="C10" i="5" s="1"/>
  <c r="C4" i="4"/>
  <c r="B10" i="5" s="1"/>
  <c r="D3" i="4"/>
  <c r="C9" i="5" s="1"/>
  <c r="C3" i="4"/>
  <c r="F3" i="4" s="1"/>
  <c r="D2" i="4"/>
  <c r="C8" i="5" s="1"/>
  <c r="C2" i="4"/>
  <c r="B8" i="5" s="1"/>
  <c r="K37" i="3"/>
  <c r="D37" i="6" s="1"/>
  <c r="K36" i="3"/>
  <c r="K35" i="3"/>
  <c r="D35" i="6" s="1"/>
  <c r="K34" i="3"/>
  <c r="D34" i="6" s="1"/>
  <c r="K33" i="3"/>
  <c r="D33" i="6" s="1"/>
  <c r="K32" i="3"/>
  <c r="K31" i="3"/>
  <c r="D31" i="6" s="1"/>
  <c r="K30" i="3"/>
  <c r="D30" i="6" s="1"/>
  <c r="K29" i="3"/>
  <c r="D29" i="6" s="1"/>
  <c r="K28" i="3"/>
  <c r="K27" i="3"/>
  <c r="D27" i="6" s="1"/>
  <c r="K26" i="3"/>
  <c r="D26" i="6" s="1"/>
  <c r="K25" i="3"/>
  <c r="D25" i="6" s="1"/>
  <c r="K24" i="3"/>
  <c r="K23" i="3"/>
  <c r="D23" i="6" s="1"/>
  <c r="K22" i="3"/>
  <c r="D22" i="6" s="1"/>
  <c r="K21" i="3"/>
  <c r="D21" i="6" s="1"/>
  <c r="K20" i="3"/>
  <c r="K19" i="3"/>
  <c r="D19" i="6" s="1"/>
  <c r="K18" i="3"/>
  <c r="D18" i="6" s="1"/>
  <c r="K17" i="3"/>
  <c r="D17" i="6" s="1"/>
  <c r="K16" i="3"/>
  <c r="K15" i="3"/>
  <c r="D15" i="6" s="1"/>
  <c r="K14" i="3"/>
  <c r="D14" i="6" s="1"/>
  <c r="K13" i="3"/>
  <c r="D13" i="6" s="1"/>
  <c r="K12" i="3"/>
  <c r="D12" i="6" s="1"/>
  <c r="K11" i="3"/>
  <c r="K10" i="3"/>
  <c r="D10" i="6" s="1"/>
  <c r="K9" i="3"/>
  <c r="D9" i="6" s="1"/>
  <c r="K8" i="3"/>
  <c r="K7" i="3"/>
  <c r="K6" i="3"/>
  <c r="D6" i="6" s="1"/>
  <c r="K5" i="3"/>
  <c r="D5" i="6" s="1"/>
  <c r="K4" i="3"/>
  <c r="D4" i="6" s="1"/>
  <c r="K3" i="3"/>
  <c r="D3" i="6" s="1"/>
  <c r="K2" i="3"/>
  <c r="D2" i="6" s="1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G9" i="6" l="1"/>
  <c r="F9" i="6"/>
  <c r="G21" i="6"/>
  <c r="F21" i="6"/>
  <c r="G33" i="6"/>
  <c r="F33" i="6"/>
  <c r="G8" i="6"/>
  <c r="G22" i="6"/>
  <c r="F22" i="6"/>
  <c r="G34" i="6"/>
  <c r="F34" i="6"/>
  <c r="G23" i="6"/>
  <c r="F23" i="6"/>
  <c r="G35" i="6"/>
  <c r="F35" i="6"/>
  <c r="G25" i="6"/>
  <c r="F25" i="6"/>
  <c r="G20" i="6"/>
  <c r="G24" i="6"/>
  <c r="G28" i="6"/>
  <c r="G13" i="6"/>
  <c r="F13" i="6"/>
  <c r="G32" i="6"/>
  <c r="G36" i="6"/>
  <c r="G7" i="6"/>
  <c r="G10" i="6"/>
  <c r="F10" i="6"/>
  <c r="G12" i="6"/>
  <c r="F12" i="6"/>
  <c r="G37" i="6"/>
  <c r="F37" i="6"/>
  <c r="G2" i="6"/>
  <c r="F2" i="6"/>
  <c r="A6" i="5"/>
  <c r="G14" i="6"/>
  <c r="F14" i="6"/>
  <c r="G26" i="6"/>
  <c r="F26" i="6"/>
  <c r="G3" i="6"/>
  <c r="F3" i="6"/>
  <c r="G15" i="6"/>
  <c r="F15" i="6"/>
  <c r="G27" i="6"/>
  <c r="F27" i="6"/>
  <c r="G4" i="6"/>
  <c r="F4" i="6"/>
  <c r="G5" i="6"/>
  <c r="F5" i="6"/>
  <c r="G17" i="6"/>
  <c r="F17" i="6"/>
  <c r="G29" i="6"/>
  <c r="F29" i="6"/>
  <c r="G6" i="6"/>
  <c r="F6" i="6"/>
  <c r="G18" i="6"/>
  <c r="F18" i="6"/>
  <c r="G30" i="6"/>
  <c r="F30" i="6"/>
  <c r="G19" i="6"/>
  <c r="F19" i="6"/>
  <c r="G31" i="6"/>
  <c r="F31" i="6"/>
  <c r="G11" i="6"/>
  <c r="E2" i="4"/>
  <c r="E8" i="5" s="1"/>
  <c r="E5" i="4"/>
  <c r="E11" i="5" s="1"/>
  <c r="E8" i="4"/>
  <c r="E14" i="5" s="1"/>
  <c r="F6" i="5"/>
  <c r="F8" i="6"/>
  <c r="D4" i="8" s="1"/>
  <c r="D5" i="8"/>
  <c r="D11" i="8"/>
  <c r="F2" i="4"/>
  <c r="F5" i="4"/>
  <c r="F8" i="4"/>
  <c r="B9" i="5"/>
  <c r="F7" i="6"/>
  <c r="F11" i="6"/>
  <c r="F16" i="6"/>
  <c r="F20" i="6"/>
  <c r="F24" i="6"/>
  <c r="F28" i="6"/>
  <c r="F32" i="6"/>
  <c r="D10" i="8" s="1"/>
  <c r="F36" i="6"/>
  <c r="D6" i="8"/>
  <c r="D12" i="8"/>
  <c r="E3" i="4"/>
  <c r="E9" i="5" s="1"/>
  <c r="E6" i="4"/>
  <c r="E12" i="5" s="1"/>
  <c r="D7" i="8"/>
  <c r="D13" i="8"/>
  <c r="F6" i="4"/>
  <c r="F4" i="5"/>
  <c r="E4" i="4"/>
  <c r="E10" i="5" s="1"/>
  <c r="E7" i="4"/>
  <c r="E13" i="5" s="1"/>
  <c r="D2" i="8"/>
  <c r="D8" i="8"/>
  <c r="D3" i="8"/>
  <c r="D9" i="8"/>
  <c r="F4" i="4"/>
  <c r="F7" i="4"/>
  <c r="F9" i="4" l="1"/>
  <c r="K10" i="6"/>
  <c r="K6" i="6"/>
  <c r="K5" i="5"/>
  <c r="J10" i="6"/>
  <c r="J6" i="6"/>
  <c r="J5" i="5"/>
  <c r="I10" i="6"/>
  <c r="I6" i="6"/>
  <c r="K9" i="5"/>
  <c r="I5" i="5"/>
  <c r="K11" i="6"/>
  <c r="K7" i="6"/>
  <c r="K3" i="6"/>
  <c r="J9" i="5"/>
  <c r="J11" i="6"/>
  <c r="J7" i="6"/>
  <c r="J3" i="6"/>
  <c r="I9" i="5"/>
  <c r="K7" i="5"/>
  <c r="I11" i="6"/>
  <c r="I7" i="6"/>
  <c r="I3" i="6"/>
  <c r="J7" i="5"/>
  <c r="K12" i="6"/>
  <c r="K8" i="6"/>
  <c r="K4" i="6"/>
  <c r="I7" i="5"/>
  <c r="I12" i="6"/>
  <c r="I4" i="6"/>
  <c r="J12" i="6"/>
  <c r="J8" i="6"/>
  <c r="J4" i="6"/>
  <c r="K6" i="5"/>
  <c r="I8" i="6"/>
  <c r="J6" i="5"/>
  <c r="K9" i="6"/>
  <c r="K5" i="6"/>
  <c r="K8" i="5"/>
  <c r="I6" i="5"/>
  <c r="J9" i="6"/>
  <c r="J5" i="6"/>
  <c r="J8" i="5"/>
  <c r="I9" i="6"/>
  <c r="I5" i="6"/>
  <c r="I8" i="5"/>
  <c r="A4" i="5" l="1"/>
  <c r="B11" i="4"/>
  <c r="C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Las calificaciones ya venían diligenciadas en el archivo recibido. Confirmar que cada puntuación esté sustentada por evidencia verificable; según las instrucciones del formato, sin evidencia no debe calificarse por encima de nivel 2.</t>
        </r>
      </text>
    </comment>
    <comment ref="I2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Texto propuesto para orientar la recolección de evidencia; no confirma que el control exista. Validar con responsables y reemplazar por referencias verificables antes de entregar.</t>
        </r>
      </text>
    </comment>
  </commentList>
</comments>
</file>

<file path=xl/sharedStrings.xml><?xml version="1.0" encoding="utf-8"?>
<sst xmlns="http://schemas.openxmlformats.org/spreadsheetml/2006/main" count="443" uniqueCount="360">
  <si>
    <t>Diagnóstico de Madurez Tecnológica/Digital - Fase 2</t>
  </si>
  <si>
    <t>Cátedra Sistemas de Información - Universidad EAFIT</t>
  </si>
  <si>
    <t>Qué es este libro</t>
  </si>
  <si>
    <t>Este archivo reemplaza el diligenciamiento aislado del diagnóstico externo y complementa el Excel 'Automatización de Procesos'. Mide la madurez de la empresa analizada en 7 dimensiones (36 indicadores), calcula automáticamente brechas frente a un nivel objetivo, y las prioriza en una hoja de ruta trazable.</t>
  </si>
  <si>
    <t>Cómo se diligencia</t>
  </si>
  <si>
    <t>1. En la pestaña 'Datos Empresa' complete la información general (una sola vez).</t>
  </si>
  <si>
    <t>2. En la pestaña 'Diagnóstico (36 indicadores)' califique cada indicador de 1 a 5 usando la lista desplegable de la columna Calificación, apoyándose en la rúbrica de las columnas de referencia. Adjunte o describa la evidencia que sustenta la calificación (columna Evidencia) - sin evidencia, no califique por encima de nivel 2. Ajuste el Nivel Objetivo si el equipo, junto con la empresa, decide una meta distinta a 4.</t>
  </si>
  <si>
    <t>3. 'Resultados por Dimensión' se calcula solo (no editar las fórmulas); solo puede ajustar la columna Peso si el equipo decide reponderar dimensiones (la suma de pesos debe seguir siendo 100%).</t>
  </si>
  <si>
    <t>4. 'Radar y Dashboard' se actualiza solo con lo anterior.</t>
  </si>
  <si>
    <t>5. En 'Brechas y Priorización' registre el Esfuerzo estimado (1-5) de cerrar cada brecha; la prioridad se calcula sola.</t>
  </si>
  <si>
    <t>6. En 'Iniciativas y Hoja de Ruta' redacte una iniciativa concreta por cada brecha priorizada y de seguimiento a su estado.</t>
  </si>
  <si>
    <t>Escala de madurez (1 a 5), común a las 7 dimensiones</t>
  </si>
  <si>
    <t>1 Inicial: reactivo, ad-hoc, depende de personas específicas, sin documentación.</t>
  </si>
  <si>
    <t>2 Emergente: existen iniciativas aisladas, sin estándar ni repetibilidad entre áreas.</t>
  </si>
  <si>
    <t>3 Definido: existen políticas/procesos formales, aplicados de forma desigual.</t>
  </si>
  <si>
    <t>4 Gestionado: se mide, se gobierna y se mejora de forma sistemática.</t>
  </si>
  <si>
    <t>5 Optimizado: se anticipa, se automatiza y se usa como ventaja competitiva.</t>
  </si>
  <si>
    <t>Celdas de color amarillo = usted debe diligenciarlas. Celdas en blanco con fórmula = no editar.</t>
  </si>
  <si>
    <t>Datos de la Empresa Analizada</t>
  </si>
  <si>
    <t>Nombre de la empresa</t>
  </si>
  <si>
    <t>UNIVERSIDAD EAFIT</t>
  </si>
  <si>
    <t>Sector / industria</t>
  </si>
  <si>
    <t xml:space="preserve">EDUCACIÓN </t>
  </si>
  <si>
    <t>Tamaño (No. empleados)</t>
  </si>
  <si>
    <t>2800 APROX</t>
  </si>
  <si>
    <t>Ciudad</t>
  </si>
  <si>
    <t>MEDELLIN</t>
  </si>
  <si>
    <t>Contacto en la empresa</t>
  </si>
  <si>
    <t>Infraestructura TI – Redes Juan Acevedo</t>
  </si>
  <si>
    <t>Cargo del contacto</t>
  </si>
  <si>
    <t>Equipo de Infraestructura TI / Redes</t>
  </si>
  <si>
    <t>Equipo (integrantes)</t>
  </si>
  <si>
    <t xml:space="preserve">4 integrantes </t>
  </si>
  <si>
    <t>Fecha de diagnóstico</t>
  </si>
  <si>
    <t>ID</t>
  </si>
  <si>
    <t>Dimensión</t>
  </si>
  <si>
    <t>Subdimensión</t>
  </si>
  <si>
    <t>Indicador (pregunta)</t>
  </si>
  <si>
    <t>Rúbrica Nivel 1</t>
  </si>
  <si>
    <t>Rúbrica Nivel 3</t>
  </si>
  <si>
    <t>Rúbrica Nivel 5</t>
  </si>
  <si>
    <t>Calificación (1-5)</t>
  </si>
  <si>
    <t>Evidencia / validación requerida</t>
  </si>
  <si>
    <t>Nivel Objetivo (1-5)</t>
  </si>
  <si>
    <t>Brecha</t>
  </si>
  <si>
    <t>D01</t>
  </si>
  <si>
    <t>1. Estrategia y Gobierno de TI</t>
  </si>
  <si>
    <t>Alineación estratégica</t>
  </si>
  <si>
    <t>Qué tan explícitamente se deriva la estrategia tecnológica de la estrategia de negocio?</t>
  </si>
  <si>
    <t>No existe estrategia de TI escrita</t>
  </si>
  <si>
    <t>Existe un plan de TI, pero no referencia objetivos de negocio</t>
  </si>
  <si>
    <t>El plan de TI se deriva y revisa formalmente contra la estrategia de negocio</t>
  </si>
  <si>
    <t>Solicitar plan estratégico de TI y mapa de alineación con objetivos institucionales; adjuntar versión vigente y acta de revisión.</t>
  </si>
  <si>
    <t>D02</t>
  </si>
  <si>
    <t>Patrocinio ejecutivo</t>
  </si>
  <si>
    <t>Existe patrocinio activo de la alta dirección para iniciativas tecnologicas?</t>
  </si>
  <si>
    <t>La dirección no participa ni prioriza iniciativas de TI</t>
  </si>
  <si>
    <t>La dirección aprueba presupuesto pero no hace seguimiento</t>
  </si>
  <si>
    <t>La dirección patrocina, prioriza y hace seguimiento periódico de iniciativas clave</t>
  </si>
  <si>
    <t>Validar actas de comité/directivos y seguimiento a iniciativas TI; registrar frecuencia y responsables.</t>
  </si>
  <si>
    <t>D03</t>
  </si>
  <si>
    <t>Gobierno de decisiones</t>
  </si>
  <si>
    <t>Existe una instancia formal (comité) que decide inversión en tecnología?</t>
  </si>
  <si>
    <t>Las decisiones de TI las toma una sola persona de forma informal</t>
  </si>
  <si>
    <t>Existen reuniones esporadicas sin reglas claras de decisión</t>
  </si>
  <si>
    <t>Existe un comité formal con reglas y calendario definidos</t>
  </si>
  <si>
    <t>Solicitar acta, integrantes, periodicidad y reglas de decisión del comité de tecnología.</t>
  </si>
  <si>
    <t>D04</t>
  </si>
  <si>
    <t>Priorización de inversión</t>
  </si>
  <si>
    <t>Las inversiones en TI se priorizan con criterios de negocio documentados?</t>
  </si>
  <si>
    <t>Se invierte por urgencia o intuición</t>
  </si>
  <si>
    <t>Existen criterios informales, no siempre aplicados</t>
  </si>
  <si>
    <t>Existe un método documentado de priorización (ej. impacto/esfuerzo, ROI)</t>
  </si>
  <si>
    <t>Revisar matriz de priorización de inversiones TI (impacto, riesgo, costo, beneficio) y ejemplos recientes.</t>
  </si>
  <si>
    <t>D05</t>
  </si>
  <si>
    <t>Medición de valor</t>
  </si>
  <si>
    <t>Se mide el retorno o beneficio de las iniciativas tecnologicas ya implementadas?</t>
  </si>
  <si>
    <t>No se mide el resultado de lo implementado</t>
  </si>
  <si>
    <t>Se mide de forma anecdótica, sin indicadores fijos</t>
  </si>
  <si>
    <t>Existen indicadores definidos y se revisan tras cada iniciativa</t>
  </si>
  <si>
    <t>Solicitar indicadores de beneficio/ROI y evaluaciones posteriores a proyectos implementados.</t>
  </si>
  <si>
    <t>D06</t>
  </si>
  <si>
    <t>2. Procesos y Operación</t>
  </si>
  <si>
    <t>Documentación de procesos</t>
  </si>
  <si>
    <t>Los procesos clave están documentados o diagramados (BPMN u otro)?</t>
  </si>
  <si>
    <t>No hay documentación de procesos</t>
  </si>
  <si>
    <t>Algunos procesos están documentados, desactualizados o incompletos</t>
  </si>
  <si>
    <t>Los procesos clave están documentados, vigentes y accesibles</t>
  </si>
  <si>
    <t>Revisar catálogo de procesos, procedimientos o diagramas vigentes y repositorio donde están publicados.</t>
  </si>
  <si>
    <t>D07</t>
  </si>
  <si>
    <t>Estandarización</t>
  </si>
  <si>
    <t>Los procesos se ejecutan de manera estandarizada entre áreas, turnos o personas?</t>
  </si>
  <si>
    <t>Cada persona ejecuta el proceso a su manera</t>
  </si>
  <si>
    <t>Existe un estándar, pero se aplica de forma desigual</t>
  </si>
  <si>
    <t>El proceso se ejecuta igual sin importar quién lo realice</t>
  </si>
  <si>
    <t>Contrastar procedimientos de soporte y operación entre equipos; verificar control de versiones y cumplimiento.</t>
  </si>
  <si>
    <t>D08</t>
  </si>
  <si>
    <t>Automatización</t>
  </si>
  <si>
    <t>Qué proporción de los procesos clave tiene algún grado de automatización (RPA, BPM, workflow)?</t>
  </si>
  <si>
    <t>Ningún proceso clave está automatizado</t>
  </si>
  <si>
    <t>Automatización puntual en 1-2 procesos</t>
  </si>
  <si>
    <t>Automatización extendida en la mayoría de procesos clave</t>
  </si>
  <si>
    <t>Inventariar procesos con automatización (flujos, scripts, RPA/BPM) y evidencia de uso en producción.</t>
  </si>
  <si>
    <t>D09</t>
  </si>
  <si>
    <t>Eficiencia operativa</t>
  </si>
  <si>
    <t>Se miden tiempos de ciclo y cuellos de botella de los procesos?</t>
  </si>
  <si>
    <t>No se miden tiempos ni cuellos de botella</t>
  </si>
  <si>
    <t>Se miden de forma manual y ocasional</t>
  </si>
  <si>
    <t>Se miden de forma sistemática con indicadores de ciclo</t>
  </si>
  <si>
    <t>No se aportó evidencia específica. Solicitar métricas de tiempos de atención/resolución, SLA, backlog y cuellos de botella.</t>
  </si>
  <si>
    <t>D10</t>
  </si>
  <si>
    <t>Mejora continua</t>
  </si>
  <si>
    <t>Existe un mecanismo formal de mejora continua de procesos?</t>
  </si>
  <si>
    <t>No existe mecanismo de mejora continua</t>
  </si>
  <si>
    <t>Se hacen mejoras reactivas ante problemas</t>
  </si>
  <si>
    <t>Existe un ciclo formal de mejora continua (ej. retro periódica)</t>
  </si>
  <si>
    <t>Solicitar registro de mejoras, retrospectivas, acciones correctivas y seguimiento periódico.</t>
  </si>
  <si>
    <t>D11</t>
  </si>
  <si>
    <t>3. Datos, Analítica e IA</t>
  </si>
  <si>
    <t>Gobierno de datos</t>
  </si>
  <si>
    <t>Existe responsable o politica de datos en la organización?</t>
  </si>
  <si>
    <t>No hay responsable ni politica de datos</t>
  </si>
  <si>
    <t>Hay dueno de datos por area, sin politica escrita</t>
  </si>
  <si>
    <t>Existe politica de datos, catálogo y metricas de calidad monitoreadas</t>
  </si>
  <si>
    <t>Validar política de gobierno de datos, responsables por dominio, catálogo y controles de calidad.</t>
  </si>
  <si>
    <t>D12</t>
  </si>
  <si>
    <t>Calidad de datos</t>
  </si>
  <si>
    <t>Se mide y gestiona la calidad de los datos (duplicados, completitud, exactitud)?</t>
  </si>
  <si>
    <t>No se mide la calidad de los datos</t>
  </si>
  <si>
    <t>Se detectan problemas de calidad de forma reactiva</t>
  </si>
  <si>
    <t>Se mide y gestiona la calidad de datos de forma proactiva</t>
  </si>
  <si>
    <t>No se aportó evidencia específica. Solicitar reportes de duplicados, completitud, exactitud y responsables de remediación.</t>
  </si>
  <si>
    <t>D13</t>
  </si>
  <si>
    <t>Analítica para decisiones</t>
  </si>
  <si>
    <t>Las decisiones de negocio se apoyan en reportes o dashboards de datos?</t>
  </si>
  <si>
    <t>Las decisiones se toman sin apoyo de datos</t>
  </si>
  <si>
    <t>Existen reportes básicos en Excel, uso limitado</t>
  </si>
  <si>
    <t>Existen dashboards actualizados usados regularmente para decidir</t>
  </si>
  <si>
    <t>Solicitar dashboards/reportes usados en comités o decisiones y evidencia de actualización y uso.</t>
  </si>
  <si>
    <t>D14</t>
  </si>
  <si>
    <t>Infraestructura de datos</t>
  </si>
  <si>
    <t>Existe un repositorio centralizado de datos (DW o lake) frente a datos dispersos en Excel?</t>
  </si>
  <si>
    <t>Los datos están dispersos en archivos individuales</t>
  </si>
  <si>
    <t>Existe un repositorio parcial, no cubre todas las áreas</t>
  </si>
  <si>
    <t>Existe un repositorio centralizado que cubre las áreas clave</t>
  </si>
  <si>
    <t>Validar arquitectura y catálogo de repositorios; confirmar cobertura, responsables y fuentes integradas.</t>
  </si>
  <si>
    <t>D15</t>
  </si>
  <si>
    <t>Adopción de IA</t>
  </si>
  <si>
    <t>La organización usa modelos o IA (incluida IA generativa) en algún proceso?</t>
  </si>
  <si>
    <t>No se usa IA en ningun proceso</t>
  </si>
  <si>
    <t>Uso exploratorio o piloto de IA en 1 proceso</t>
  </si>
  <si>
    <t>Uso extendido de IA en varios procesos con resultados medidos</t>
  </si>
  <si>
    <t>Validar casos de uso de IA autorizados, pilotos, controles y métricas de resultado; no asumir adopción institucional generalizada.</t>
  </si>
  <si>
    <t>D16</t>
  </si>
  <si>
    <t>Gobierno de IA y etica de datos</t>
  </si>
  <si>
    <t>Existen lineamientos de uso responsable de IA y datos?</t>
  </si>
  <si>
    <t>No existen lineamientos de uso de IA/datos</t>
  </si>
  <si>
    <t>Existen lineamientos informales, no comunicados formalmente</t>
  </si>
  <si>
    <t>Existen lineamientos formales, comunicados y aplicados</t>
  </si>
  <si>
    <t>Solicitar lineamientos de uso de IA generativa, protección de datos y comunicación a usuarios.</t>
  </si>
  <si>
    <t>D17</t>
  </si>
  <si>
    <t>4. Arquitectura e Integración</t>
  </si>
  <si>
    <t>Inventario de aplicaciones</t>
  </si>
  <si>
    <t>Existe un inventario actualizado de sistemas y aplicaciones?</t>
  </si>
  <si>
    <t>No existe inventario de aplicaciones</t>
  </si>
  <si>
    <t>Existe un inventario desactualizado o incompleto</t>
  </si>
  <si>
    <t>Existe un inventario completo y actualizado</t>
  </si>
  <si>
    <t>Solicitar inventario de aplicaciones con dueño, criticidad, versión, soporte y fecha de actualización.</t>
  </si>
  <si>
    <t>D18</t>
  </si>
  <si>
    <t>Deuda técnica</t>
  </si>
  <si>
    <t>Qué tan actualizadas y soportadas están las aplicaciones críticas?</t>
  </si>
  <si>
    <t>Aplicaciones críticas sin soporte ni actualizaciones</t>
  </si>
  <si>
    <t>Algunas aplicaciones críticas tienen soporte limitado</t>
  </si>
  <si>
    <t>Las aplicaciones críticas cuentan con soporte y actualización vigente</t>
  </si>
  <si>
    <t>Revisar matriz de aplicaciones críticas, contratos de soporte, parches y ciclo de vida.</t>
  </si>
  <si>
    <t>D19</t>
  </si>
  <si>
    <t>Adopción de cloud</t>
  </si>
  <si>
    <t>Qué proporción de la infraestructura está en la nube frente a on-premise?</t>
  </si>
  <si>
    <t>Toda la infraestructura es on-premise</t>
  </si>
  <si>
    <t>Adopción parcial de nube (algunos sistemas)</t>
  </si>
  <si>
    <t>Infraestructura mayoritariamente en la nube, con estrategia definida</t>
  </si>
  <si>
    <t>Validar inventario de infraestructura cloud/on-premise, arquitectura objetivo y criterios de migración.</t>
  </si>
  <si>
    <t>D20</t>
  </si>
  <si>
    <t>Integración</t>
  </si>
  <si>
    <t>Los sistemas se integran vía APIs/ESB o mediante cargas manuales de archivos?</t>
  </si>
  <si>
    <t>Integración manual (exportar/importar archivos)</t>
  </si>
  <si>
    <t>Integración parcial vía APIs en algunos sistemas</t>
  </si>
  <si>
    <t>Integración sistemática vía APIs/ESB entre los sistemas clave</t>
  </si>
  <si>
    <t>Solicitar mapa de integraciones, APIs/interfaces y evidencias de monitoreo de fallos.</t>
  </si>
  <si>
    <t>D21</t>
  </si>
  <si>
    <t>Escalabilidad</t>
  </si>
  <si>
    <t>La arquitectura soporta crecimiento en volumen o usuarios sin rediseño mayor?</t>
  </si>
  <si>
    <t>La arquitectura no soporta crecimiento sin rediseño mayor</t>
  </si>
  <si>
    <t>Soporta crecimiento moderado con ajustes puntuales</t>
  </si>
  <si>
    <t>Soporta crecimiento significativo sin rediseño mayor</t>
  </si>
  <si>
    <t>Revisar pruebas de capacidad, monitoreo de rendimiento y planes de crecimiento de servicios críticos.</t>
  </si>
  <si>
    <t>D22</t>
  </si>
  <si>
    <t>5. Ciberseguridad y Riesgo</t>
  </si>
  <si>
    <t>Control de acceso</t>
  </si>
  <si>
    <t>Existen políticas de control de acceso e identidad (MFA, roles)?</t>
  </si>
  <si>
    <t>No existen políticas de control de acceso</t>
  </si>
  <si>
    <t>Existen controles básicos (contraseñas), sin MFA ni roles</t>
  </si>
  <si>
    <t>Existen MFA, roles y revisión periódica de accesos</t>
  </si>
  <si>
    <t>Validar políticas de identidad, MFA, roles, altas/bajas y revisiones periódicas de permisos.</t>
  </si>
  <si>
    <t>D23</t>
  </si>
  <si>
    <t>Protección de datos</t>
  </si>
  <si>
    <t>Los datos sensibles están cifrados o protegidos adecuadamente?</t>
  </si>
  <si>
    <t>Los datos sensibles no tienen protección específica</t>
  </si>
  <si>
    <t>Protección parcial, aplicada de forma inconsistente</t>
  </si>
  <si>
    <t>Los datos sensibles están cifrados y protegidos de forma consistente</t>
  </si>
  <si>
    <t>Revisar clasificación de información, cifrado en tránsito/reposo y controles de acceso a datos sensibles.</t>
  </si>
  <si>
    <t>D24</t>
  </si>
  <si>
    <t>Detección y respuesta</t>
  </si>
  <si>
    <t>Existe monitoreo o capacidad de detectar incidentes de seguridad?</t>
  </si>
  <si>
    <t>No existe monitoreo de seguridad</t>
  </si>
  <si>
    <t>Monitoreo básico, sin proceso formal de respuesta</t>
  </si>
  <si>
    <t>Monitoreo activo con proceso formal de respuesta a incidentes</t>
  </si>
  <si>
    <t>Solicitar evidencias de monitoreo, alertas, procedimiento de respuesta y registro de incidentes.</t>
  </si>
  <si>
    <t>D25</t>
  </si>
  <si>
    <t>Continuidad</t>
  </si>
  <si>
    <t>Existen copias de respaldo y un plan de continuidad probado?</t>
  </si>
  <si>
    <t>No existen backups ni plan de continuidad</t>
  </si>
  <si>
    <t>Existen backups, sin plan de continuidad probado</t>
  </si>
  <si>
    <t>Existen backups y plan de continuidad probado periódicamente</t>
  </si>
  <si>
    <t>Validar reportes de backups, pruebas de restauración y pruebas del plan de continuidad/recuperación.</t>
  </si>
  <si>
    <t>D26</t>
  </si>
  <si>
    <t>Cumplimiento</t>
  </si>
  <si>
    <t>Se cumplen las normas aplicables (habeas data, sectoriales, etc.)?</t>
  </si>
  <si>
    <t>No se conocen ni gestionan requisitos de cumplimiento</t>
  </si>
  <si>
    <t>Se conocen los requisitos, cumplimiento parcial</t>
  </si>
  <si>
    <t>Se cumplen y auditan los requisitos aplicables regularmente</t>
  </si>
  <si>
    <t>Solicitar matriz de requisitos legales aplicables, responsables y resultados de auditoría/compliance.</t>
  </si>
  <si>
    <t>D27</t>
  </si>
  <si>
    <t>6. Cultura, Talento y Gestión del Cambio</t>
  </si>
  <si>
    <t>Competencias digitales</t>
  </si>
  <si>
    <t>El personal tiene formación en herramientas y tecnologias digitales?</t>
  </si>
  <si>
    <t>No hay formación digital del personal</t>
  </si>
  <si>
    <t>Formación puntual, no sistemática</t>
  </si>
  <si>
    <t>Formación digital continua y planificada</t>
  </si>
  <si>
    <t>Revisar plan de formación digital, cobertura, asistencia y evaluación de competencias.</t>
  </si>
  <si>
    <t>D28</t>
  </si>
  <si>
    <t>Liderazgo del cambio</t>
  </si>
  <si>
    <t>Existen líderes de cambio o agentes de transformación identificados?</t>
  </si>
  <si>
    <t>No hay líderes de cambio identificados</t>
  </si>
  <si>
    <t>Hay personas interesadas, sin rol formal</t>
  </si>
  <si>
    <t>Existen agentes de cambio con rol formal y reconocido</t>
  </si>
  <si>
    <t>Solicitar designación formal de líderes de cambio y responsabilidades en iniciativas de transformación.</t>
  </si>
  <si>
    <t>D29</t>
  </si>
  <si>
    <t>Adopción</t>
  </si>
  <si>
    <t>Las nuevas herramientas se adoptan efectivamente (uso real) tras implementarse?</t>
  </si>
  <si>
    <t>Las herramientas nuevas se usan poco o se abandonan</t>
  </si>
  <si>
    <t>Adopción parcial, requiere insistencia constante</t>
  </si>
  <si>
    <t>Adopción alta y sostenida tras la implementación</t>
  </si>
  <si>
    <t>Validar métricas de adopción/uso real, capacitación y seguimiento después de implementar herramientas.</t>
  </si>
  <si>
    <t>D30</t>
  </si>
  <si>
    <t>Experimentación</t>
  </si>
  <si>
    <t>Se permiten pilotos o experimentos controlados con nuevas tecnologias?</t>
  </si>
  <si>
    <t>No se permiten pilotos ni experimentos</t>
  </si>
  <si>
    <t>Se permiten pilotos aislados, sin método</t>
  </si>
  <si>
    <t>Existe un método definido para pilotos y experimentación</t>
  </si>
  <si>
    <t>Solicitar procedimiento de pilotos, criterios de aprobación, evaluación de riesgos y resultados documentados.</t>
  </si>
  <si>
    <t>D31</t>
  </si>
  <si>
    <t>Comunicación del cambio</t>
  </si>
  <si>
    <t>Existe comunicación estructurada sobre las iniciativas de transformación?</t>
  </si>
  <si>
    <t>No hay comunicación sobre iniciativas de cambio</t>
  </si>
  <si>
    <t>Comunicación informal u ocasional</t>
  </si>
  <si>
    <t>Comunicación planificada y recurrente sobre avances</t>
  </si>
  <si>
    <t>Revisar plan de comunicaciones, periodicidad, audiencias y seguimiento de iniciativas de transformación.</t>
  </si>
  <si>
    <t>D32</t>
  </si>
  <si>
    <t>7. Experiencia Digital</t>
  </si>
  <si>
    <t>Canales digitales</t>
  </si>
  <si>
    <t>La empresa ofrece canales digitales de atención o venta (web, app, chat)?</t>
  </si>
  <si>
    <t>No existen canales digitales de atención/venta</t>
  </si>
  <si>
    <t>Existe un canal digital básico, poco usado</t>
  </si>
  <si>
    <t>Existen varios canales digitales, activos y usados</t>
  </si>
  <si>
    <t>Validar canales digitales institucionales, métricas de uso, accesibilidad y atención de solicitudes.</t>
  </si>
  <si>
    <t>D33</t>
  </si>
  <si>
    <t>Conocimiento del cliente</t>
  </si>
  <si>
    <t>Existe una vista unificada del cliente (CRM u homologo)?</t>
  </si>
  <si>
    <t>No existe una vista unificada del cliente</t>
  </si>
  <si>
    <t>Existe información de clientes dispersa en varias fuentes</t>
  </si>
  <si>
    <t>Existe un CRM u homologo con vista unificada del cliente</t>
  </si>
  <si>
    <t>Revisar arquitectura CRM o equivalente y comprobar si existe vista unificada; delimitar por tipo de usuario/cliente.</t>
  </si>
  <si>
    <t>D34</t>
  </si>
  <si>
    <t>Personalización</t>
  </si>
  <si>
    <t>Se personalizan productos, servicios o comunicaciones con base en datos del cliente?</t>
  </si>
  <si>
    <t>No se personaliza nada con base en datos del cliente</t>
  </si>
  <si>
    <t>Personalización básica y manual</t>
  </si>
  <si>
    <t>Personalización sistemática basada en datos del cliente</t>
  </si>
  <si>
    <t>Solicitar reglas de segmentación/personalización, consentimiento, casos activos y métricas de resultados.</t>
  </si>
  <si>
    <t>D35</t>
  </si>
  <si>
    <t>Medición de experiencia</t>
  </si>
  <si>
    <t>Se mide la satisfacción o experiencia digital del cliente (NPS, CSAT digital)?</t>
  </si>
  <si>
    <t>No se mide la experiencia digital del cliente</t>
  </si>
  <si>
    <t>Se mide de forma esporadica</t>
  </si>
  <si>
    <t>Se mide de forma sistemática y se actua sobre los resultados</t>
  </si>
  <si>
    <t>Validar encuestas NPS/CSAT u otros indicadores de experiencia digital y acciones tomadas con los resultados.</t>
  </si>
  <si>
    <t>D36</t>
  </si>
  <si>
    <t>Autoservicio</t>
  </si>
  <si>
    <t>Los clientes pueden autogestionar solicitudes sin intervención humana?</t>
  </si>
  <si>
    <t>Toda solicitud requiere intervención humana</t>
  </si>
  <si>
    <t>Autoservicio disponible para solicitudes simples</t>
  </si>
  <si>
    <t>Autoservicio disponible para la mayoría de solicitudes</t>
  </si>
  <si>
    <t>Inventariar trámites con autoservicio, porcentaje de solicitudes autogestionadas y excepciones que requieren atención humana.</t>
  </si>
  <si>
    <t>Peso</t>
  </si>
  <si>
    <t>Promedio Actual</t>
  </si>
  <si>
    <t>Promedio Objetivo</t>
  </si>
  <si>
    <t>Brecha Dimensión</t>
  </si>
  <si>
    <t>Contribución Ponderada</t>
  </si>
  <si>
    <t>TOTAL / PUNTAJE GLOBAL</t>
  </si>
  <si>
    <t>Nivel de madurez global:</t>
  </si>
  <si>
    <t>Dashboard Ejecutivo de Madurez</t>
  </si>
  <si>
    <t>Puntaje Global</t>
  </si>
  <si>
    <t>Nivel de Madurez</t>
  </si>
  <si>
    <t>Dimensión más fuerte</t>
  </si>
  <si>
    <t>Top 5 Brechas Prioritarias</t>
  </si>
  <si>
    <t>Indicador</t>
  </si>
  <si>
    <t>Brechas críticas (&gt;=3 pts)</t>
  </si>
  <si>
    <t>Dimensión más debil</t>
  </si>
  <si>
    <t>Actual</t>
  </si>
  <si>
    <t>Objetivo</t>
  </si>
  <si>
    <t>Brecha (Impacto)</t>
  </si>
  <si>
    <t>Esfuerzo (1-5)</t>
  </si>
  <si>
    <t>Prioridad</t>
  </si>
  <si>
    <t>Rank Brecha</t>
  </si>
  <si>
    <t>Top 10 Brechas (GAP) por Indicador</t>
  </si>
  <si>
    <t>Nota: 'Brecha (Impacto)' se trae automáticamente de la pestaña 2. Complete solo 'Esfuerzo (1-5)'. La prioridad y el Rank se calculan solos.</t>
  </si>
  <si>
    <t>ID Brecha</t>
  </si>
  <si>
    <t>Iniciativa</t>
  </si>
  <si>
    <t>Responsable</t>
  </si>
  <si>
    <t>Plazo</t>
  </si>
  <si>
    <t>Estado</t>
  </si>
  <si>
    <t>Automatizar medición de tiempos de ciclo y cuellos de botella; definir indicadores, línea base y tablero de seguimiento.</t>
  </si>
  <si>
    <t>Líder de procesos + TI</t>
  </si>
  <si>
    <t>Corto plazo</t>
  </si>
  <si>
    <t>Por validar</t>
  </si>
  <si>
    <t>Definir controles de calidad de datos: reglas de completitud, duplicados y exactitud, responsables y reporte periódico.</t>
  </si>
  <si>
    <t>Gobierno de datos + áreas dueñas</t>
  </si>
  <si>
    <t>Documentar y estandarizar los procesos prioritarios; publicar procedimientos y revisar cumplimiento.</t>
  </si>
  <si>
    <t>Dueños de proceso</t>
  </si>
  <si>
    <t>Seleccionar procesos repetitivos de alto volumen y diseñar pilotos de automatización con medición antes/después.</t>
  </si>
  <si>
    <t>Procesos + Automatización TI</t>
  </si>
  <si>
    <t>Formalizar lineamientos de uso responsable de IA y datos, incluyendo privacidad, revisión humana y herramientas autorizadas.</t>
  </si>
  <si>
    <t>Seguridad TI + Jurídica + Datos</t>
  </si>
  <si>
    <t>Revisar cobertura de MFA, roles y recertificación de accesos; registrar excepciones y plan de cierre.</t>
  </si>
  <si>
    <t>Seguridad TI + Identidades</t>
  </si>
  <si>
    <t>Designar líderes de cambio por iniciativa y definir responsabilidades, indicadores y acompañamiento.</t>
  </si>
  <si>
    <t>Líderes de transformación</t>
  </si>
  <si>
    <t>Mediano plazo</t>
  </si>
  <si>
    <t>Establecer un método para pilotos tecnológicos con hipótesis, criterios de éxito, evaluación y decisión de escalamiento.</t>
  </si>
  <si>
    <t>Arquitectura TI + áreas usuarias</t>
  </si>
  <si>
    <t>Implementar un plan de comunicación de iniciativas con audiencias, frecuencia, responsables y métricas de alcance.</t>
  </si>
  <si>
    <t>Comunicaciones + líderes de proyecto</t>
  </si>
  <si>
    <t>Evaluar la necesidad de una vista unificada de usuarios/estudiantes/aliados, considerando sistemas existentes y privacidad.</t>
  </si>
  <si>
    <t>Arquitectura + Datos + áreas usuarias</t>
  </si>
  <si>
    <t>Estandarizar medición de experiencia digital (CSAT/NPS o equivalente) y vincular resultados a planes de mejora.</t>
  </si>
  <si>
    <t>Experiencia digital + analítica</t>
  </si>
  <si>
    <t>Identificar solicitudes aptas para autoservicio y priorizar un piloto con trazabilidad y medición de resolución.</t>
  </si>
  <si>
    <t>Servicios digitales + TI</t>
  </si>
  <si>
    <t>No iniciada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</si>
</sst>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2"/>
      <color rgb="FF2E5395"/>
      <name val="Arial"/>
      <charset val="1"/>
    </font>
    <font>
      <sz val="10.5"/>
      <name val="Arial"/>
      <charset val="1"/>
    </font>
    <font>
      <b/>
      <sz val="12"/>
      <color rgb="FF1F3864"/>
      <name val="Arial"/>
      <charset val="1"/>
    </font>
    <font>
      <i/>
      <sz val="10"/>
      <color rgb="FF7F7F7F"/>
      <name val="Arial"/>
      <charset val="1"/>
    </font>
    <font>
      <b/>
      <sz val="13"/>
      <color rgb="FFFFFFFF"/>
      <name val="Arial"/>
      <charset val="1"/>
    </font>
    <font>
      <b/>
      <sz val="10.5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rgb="FF1F3864"/>
      <name val="Arial"/>
      <charset val="1"/>
    </font>
    <font>
      <b/>
      <sz val="15"/>
      <color rgb="FF1F3864"/>
      <name val="Arial"/>
      <charset val="1"/>
    </font>
    <font>
      <b/>
      <sz val="28"/>
      <color rgb="FF1F3864"/>
      <name val="Arial"/>
      <charset val="1"/>
    </font>
    <font>
      <b/>
      <sz val="11"/>
      <color rgb="FF2E7D32"/>
      <name val="Arial"/>
      <charset val="1"/>
    </font>
    <font>
      <b/>
      <sz val="9"/>
      <color rgb="FFFFFFFF"/>
      <name val="Arial"/>
      <charset val="1"/>
    </font>
    <font>
      <b/>
      <sz val="10"/>
      <name val="Arial"/>
      <charset val="1"/>
    </font>
    <font>
      <b/>
      <sz val="20"/>
      <color rgb="FFC62828"/>
      <name val="Arial"/>
      <charset val="1"/>
    </font>
    <font>
      <b/>
      <sz val="11"/>
      <color rgb="FFC62828"/>
      <name val="Arial"/>
      <charset val="1"/>
    </font>
    <font>
      <i/>
      <sz val="9.5"/>
      <color rgb="FF7F7F7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1" xfId="0" applyFont="1" applyBorder="1"/>
    <xf numFmtId="0" fontId="0" fillId="3" borderId="1" xfId="0" applyFill="1" applyBorder="1"/>
    <xf numFmtId="0" fontId="8" fillId="2" borderId="0" xfId="0" applyFont="1" applyFill="1" applyAlignment="1">
      <alignment horizontal="left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/>
    <xf numFmtId="9" fontId="0" fillId="3" borderId="1" xfId="0" applyNumberFormat="1" applyFill="1" applyBorder="1"/>
    <xf numFmtId="164" fontId="0" fillId="0" borderId="1" xfId="0" applyNumberFormat="1" applyBorder="1"/>
    <xf numFmtId="2" fontId="0" fillId="0" borderId="1" xfId="0" applyNumberFormat="1" applyBorder="1"/>
    <xf numFmtId="0" fontId="9" fillId="0" borderId="2" xfId="0" applyFont="1" applyBorder="1"/>
    <xf numFmtId="9" fontId="9" fillId="0" borderId="2" xfId="0" applyNumberFormat="1" applyFont="1" applyBorder="1"/>
    <xf numFmtId="0" fontId="0" fillId="0" borderId="2" xfId="0" applyBorder="1"/>
    <xf numFmtId="2" fontId="10" fillId="0" borderId="2" xfId="0" applyNumberFormat="1" applyFont="1" applyBorder="1"/>
    <xf numFmtId="0" fontId="9" fillId="0" borderId="0" xfId="0" applyFont="1"/>
    <xf numFmtId="2" fontId="12" fillId="0" borderId="0" xfId="0" applyNumberFormat="1" applyFont="1"/>
    <xf numFmtId="0" fontId="14" fillId="2" borderId="0" xfId="0" applyFont="1" applyFill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164" fontId="0" fillId="0" borderId="0" xfId="0" applyNumberFormat="1"/>
    <xf numFmtId="14" fontId="0" fillId="3" borderId="1" xfId="0" applyNumberFormat="1" applyFill="1" applyBorder="1"/>
    <xf numFmtId="0" fontId="6" fillId="2" borderId="0" xfId="0" applyFont="1" applyFill="1" applyAlignment="1">
      <alignment horizontal="left" vertical="center" wrapText="1"/>
    </xf>
    <xf numFmtId="0" fontId="0" fillId="0" borderId="0" xfId="0" applyAlignment="1"/>
    <xf numFmtId="0" fontId="4" fillId="0" borderId="0" xfId="0" applyFont="1" applyAlignment="1"/>
    <xf numFmtId="0" fontId="11" fillId="0" borderId="0" xfId="0" applyFont="1" applyAlignment="1"/>
    <xf numFmtId="0" fontId="10" fillId="0" borderId="0" xfId="0" applyFont="1" applyAlignment="1"/>
    <xf numFmtId="0" fontId="1" fillId="0" borderId="0" xfId="0" applyFont="1" applyAlignment="1"/>
    <xf numFmtId="0" fontId="13" fillId="0" borderId="0" xfId="0" applyFont="1" applyAlignment="1"/>
    <xf numFmtId="0" fontId="17" fillId="0" borderId="0" xfId="0" applyFont="1" applyAlignment="1"/>
    <xf numFmtId="0" fontId="1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62828"/>
      <rgbColor rgb="FFFFF2CC"/>
      <rgbColor rgb="FFF2F2F2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97BCA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2E7D32"/>
      <rgbColor rgb="FF003300"/>
      <rgbColor rgb="FF333300"/>
      <rgbColor rgb="FF9C2F2C"/>
      <rgbColor rgb="FFCE3A3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Madurez por Dimensión: Actual vs Objetivo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'4. Radar y Dashboard'!$B$7</c:f>
              <c:strCache>
                <c:ptCount val="1"/>
                <c:pt idx="0">
                  <c:v>Actual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Radar y Dashboard'!$A$8:$A$14</c:f>
              <c:strCache>
                <c:ptCount val="7"/>
                <c:pt idx="0">
                  <c:v>1. Estrategia y Gobierno de TI</c:v>
                </c:pt>
                <c:pt idx="1">
                  <c:v>2. Procesos y Operación</c:v>
                </c:pt>
                <c:pt idx="2">
                  <c:v>3. Datos, Analítica e IA</c:v>
                </c:pt>
                <c:pt idx="3">
                  <c:v>4. Arquitectura e Integración</c:v>
                </c:pt>
                <c:pt idx="4">
                  <c:v>5. Ciberseguridad y Riesgo</c:v>
                </c:pt>
                <c:pt idx="5">
                  <c:v>6. Cultura, Talento y Gestión del Cambio</c:v>
                </c:pt>
                <c:pt idx="6">
                  <c:v>7. Experiencia Digital</c:v>
                </c:pt>
              </c:strCache>
            </c:strRef>
          </c:cat>
          <c:val>
            <c:numRef>
              <c:f>'4. Radar y Dashboard'!$B$8:$B$14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3.8333333333333335</c:v>
                </c:pt>
                <c:pt idx="3">
                  <c:v>4.2</c:v>
                </c:pt>
                <c:pt idx="4">
                  <c:v>3.8</c:v>
                </c:pt>
                <c:pt idx="5">
                  <c:v>3.4</c:v>
                </c:pt>
                <c:pt idx="6">
                  <c:v>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4-4CA4-816B-573343651B5C}"/>
            </c:ext>
          </c:extLst>
        </c:ser>
        <c:ser>
          <c:idx val="1"/>
          <c:order val="1"/>
          <c:tx>
            <c:strRef>
              <c:f>'4. Radar y Dashboard'!$C$7</c:f>
              <c:strCache>
                <c:ptCount val="1"/>
                <c:pt idx="0">
                  <c:v>Objetivo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Radar y Dashboard'!$A$8:$A$14</c:f>
              <c:strCache>
                <c:ptCount val="7"/>
                <c:pt idx="0">
                  <c:v>1. Estrategia y Gobierno de TI</c:v>
                </c:pt>
                <c:pt idx="1">
                  <c:v>2. Procesos y Operación</c:v>
                </c:pt>
                <c:pt idx="2">
                  <c:v>3. Datos, Analítica e IA</c:v>
                </c:pt>
                <c:pt idx="3">
                  <c:v>4. Arquitectura e Integración</c:v>
                </c:pt>
                <c:pt idx="4">
                  <c:v>5. Ciberseguridad y Riesgo</c:v>
                </c:pt>
                <c:pt idx="5">
                  <c:v>6. Cultura, Talento y Gestión del Cambio</c:v>
                </c:pt>
                <c:pt idx="6">
                  <c:v>7. Experiencia Digital</c:v>
                </c:pt>
              </c:strCache>
            </c:strRef>
          </c:cat>
          <c:val>
            <c:numRef>
              <c:f>'4. Radar y Dashboard'!$C$8:$C$14</c:f>
              <c:numCache>
                <c:formatCode>0.0</c:formatCode>
                <c:ptCount val="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D4-4CA4-816B-573343651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7457"/>
        <c:axId val="80280514"/>
      </c:radarChart>
      <c:catAx>
        <c:axId val="1038745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280514"/>
        <c:crosses val="autoZero"/>
        <c:auto val="1"/>
        <c:lblAlgn val="ctr"/>
        <c:lblOffset val="100"/>
        <c:noMultiLvlLbl val="0"/>
      </c:catAx>
      <c:valAx>
        <c:axId val="802805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387457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Brecha (GAP) de Madurez por Dimensión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Radar y Dashboard'!$E$7</c:f>
              <c:strCache>
                <c:ptCount val="1"/>
                <c:pt idx="0">
                  <c:v>Brecha</c:v>
                </c:pt>
              </c:strCache>
            </c:strRef>
          </c:tx>
          <c:spPr>
            <a:solidFill>
              <a:srgbClr val="C62828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'4. Radar y Dashboard'!$A$8:$A$14</c:f>
              <c:strCache>
                <c:ptCount val="7"/>
                <c:pt idx="0">
                  <c:v>1. Estrategia y Gobierno de TI</c:v>
                </c:pt>
                <c:pt idx="1">
                  <c:v>2. Procesos y Operación</c:v>
                </c:pt>
                <c:pt idx="2">
                  <c:v>3. Datos, Analítica e IA</c:v>
                </c:pt>
                <c:pt idx="3">
                  <c:v>4. Arquitectura e Integración</c:v>
                </c:pt>
                <c:pt idx="4">
                  <c:v>5. Ciberseguridad y Riesgo</c:v>
                </c:pt>
                <c:pt idx="5">
                  <c:v>6. Cultura, Talento y Gestión del Cambio</c:v>
                </c:pt>
                <c:pt idx="6">
                  <c:v>7. Experiencia Digital</c:v>
                </c:pt>
              </c:strCache>
            </c:strRef>
          </c:cat>
          <c:val>
            <c:numRef>
              <c:f>'4. Radar y Dashboard'!$E$8:$E$14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0.16666666666666652</c:v>
                </c:pt>
                <c:pt idx="3">
                  <c:v>-0.20000000000000018</c:v>
                </c:pt>
                <c:pt idx="4">
                  <c:v>0.20000000000000018</c:v>
                </c:pt>
                <c:pt idx="5">
                  <c:v>0.60000000000000009</c:v>
                </c:pt>
                <c:pt idx="6">
                  <c:v>0.60000000000000009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4-48DB-BF68-021B4C991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03448"/>
        <c:axId val="94950860"/>
      </c:barChart>
      <c:catAx>
        <c:axId val="53503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50860"/>
        <c:crosses val="autoZero"/>
        <c:auto val="1"/>
        <c:lblAlgn val="ctr"/>
        <c:lblOffset val="100"/>
        <c:noMultiLvlLbl val="0"/>
      </c:catAx>
      <c:valAx>
        <c:axId val="949508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Puntos de brecha (0-4)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50344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Top 10 Brechas (GAP) por Indicador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'5. Brechas y Priorización'!$K$2</c:f>
              <c:strCache>
                <c:ptCount val="1"/>
                <c:pt idx="0">
                  <c:v>Brecha</c:v>
                </c:pt>
              </c:strCache>
            </c:strRef>
          </c:tx>
          <c:spPr>
            <a:solidFill>
              <a:srgbClr val="C62828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'5. Brechas y Priorización'!$I$3:$I$12</c:f>
              <c:strCache>
                <c:ptCount val="10"/>
                <c:pt idx="0">
                  <c:v>Se miden tiempos de ciclo y cuellos de botella de los procesos?</c:v>
                </c:pt>
                <c:pt idx="1">
                  <c:v>Se mide y gestiona la calidad de los datos (duplicados, completitud, exactitud)?</c:v>
                </c:pt>
                <c:pt idx="2">
                  <c:v>Los procesos se ejecutan de manera estandarizada entre áreas, turnos o personas?</c:v>
                </c:pt>
                <c:pt idx="3">
                  <c:v>Qué proporción de los procesos clave tiene algún grado de automatización (RPA, BPM, workflow)?</c:v>
                </c:pt>
                <c:pt idx="4">
                  <c:v>Existe un mecanismo formal de mejora continua de procesos?</c:v>
                </c:pt>
                <c:pt idx="5">
                  <c:v>Existen lineamientos de uso responsable de IA y datos?</c:v>
                </c:pt>
                <c:pt idx="6">
                  <c:v>Existen políticas de control de acceso e identidad (MFA, roles)?</c:v>
                </c:pt>
                <c:pt idx="7">
                  <c:v>Existen líderes de cambio o agentes de transformación identificados?</c:v>
                </c:pt>
                <c:pt idx="8">
                  <c:v>Se permiten pilotos o experimentos controlados con nuevas tecnologias?</c:v>
                </c:pt>
                <c:pt idx="9">
                  <c:v>Existe comunicación estructurada sobre las iniciativas de transformación?</c:v>
                </c:pt>
              </c:strCache>
            </c:strRef>
          </c:cat>
          <c:val>
            <c:numRef>
              <c:f>'5. Brechas y Priorización'!$K$3:$K$12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5-4A23-A2B4-6A1E562E8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808211"/>
        <c:axId val="72550044"/>
      </c:barChart>
      <c:catAx>
        <c:axId val="498082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550044"/>
        <c:crosses val="autoZero"/>
        <c:auto val="1"/>
        <c:lblAlgn val="ctr"/>
        <c:lblOffset val="100"/>
        <c:noMultiLvlLbl val="0"/>
      </c:catAx>
      <c:valAx>
        <c:axId val="725500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Puntos de brecha (0-4)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80821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167040</xdr:rowOff>
    </xdr:from>
    <xdr:to>
      <xdr:col>5</xdr:col>
      <xdr:colOff>574200</xdr:colOff>
      <xdr:row>36</xdr:row>
      <xdr:rowOff>105120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13</xdr:row>
      <xdr:rowOff>167040</xdr:rowOff>
    </xdr:from>
    <xdr:to>
      <xdr:col>14</xdr:col>
      <xdr:colOff>430920</xdr:colOff>
      <xdr:row>36</xdr:row>
      <xdr:rowOff>105120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165600</xdr:rowOff>
    </xdr:from>
    <xdr:to>
      <xdr:col>16</xdr:col>
      <xdr:colOff>84240</xdr:colOff>
      <xdr:row>19</xdr:row>
      <xdr:rowOff>2175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topLeftCell="A7" zoomScaleNormal="100" workbookViewId="0"/>
  </sheetViews>
  <sheetFormatPr defaultColWidth="8.7109375" defaultRowHeight="14.45"/>
  <cols>
    <col min="1" max="1" width="110" customWidth="1"/>
  </cols>
  <sheetData>
    <row r="1" spans="1:1" ht="20.100000000000001" customHeight="1">
      <c r="A1" s="1" t="s">
        <v>0</v>
      </c>
    </row>
    <row r="2" spans="1:1" ht="15.6" customHeight="1">
      <c r="A2" s="2" t="s">
        <v>1</v>
      </c>
    </row>
    <row r="3" spans="1:1">
      <c r="A3" s="3"/>
    </row>
    <row r="4" spans="1:1" ht="15.6" customHeight="1">
      <c r="A4" s="4" t="s">
        <v>2</v>
      </c>
    </row>
    <row r="5" spans="1:1" ht="40.5" customHeight="1">
      <c r="A5" s="3" t="s">
        <v>3</v>
      </c>
    </row>
    <row r="6" spans="1:1">
      <c r="A6" s="3"/>
    </row>
    <row r="7" spans="1:1" ht="15.6" customHeight="1">
      <c r="A7" s="4" t="s">
        <v>4</v>
      </c>
    </row>
    <row r="8" spans="1:1">
      <c r="A8" s="3" t="s">
        <v>5</v>
      </c>
    </row>
    <row r="9" spans="1:1" ht="54" customHeight="1">
      <c r="A9" s="3" t="s">
        <v>6</v>
      </c>
    </row>
    <row r="10" spans="1:1" ht="27" customHeight="1">
      <c r="A10" s="3" t="s">
        <v>7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/>
    </row>
    <row r="15" spans="1:1" ht="15.6" customHeight="1">
      <c r="A15" s="4" t="s">
        <v>11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3" t="s">
        <v>15</v>
      </c>
    </row>
    <row r="20" spans="1:1">
      <c r="A20" s="3" t="s">
        <v>16</v>
      </c>
    </row>
    <row r="21" spans="1:1">
      <c r="A21" s="3"/>
    </row>
    <row r="22" spans="1:1">
      <c r="A22" s="5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zoomScaleNormal="100" workbookViewId="0">
      <selection activeCell="B6" sqref="B6"/>
    </sheetView>
  </sheetViews>
  <sheetFormatPr defaultColWidth="8.7109375" defaultRowHeight="14.45"/>
  <cols>
    <col min="1" max="1" width="28" customWidth="1"/>
    <col min="2" max="2" width="50" customWidth="1"/>
  </cols>
  <sheetData>
    <row r="1" spans="1:2" ht="16.149999999999999" customHeight="1">
      <c r="A1" s="27" t="s">
        <v>18</v>
      </c>
      <c r="B1" s="28"/>
    </row>
    <row r="2" spans="1:2">
      <c r="A2" s="6" t="s">
        <v>19</v>
      </c>
      <c r="B2" s="7" t="s">
        <v>20</v>
      </c>
    </row>
    <row r="3" spans="1:2">
      <c r="A3" s="6" t="s">
        <v>21</v>
      </c>
      <c r="B3" s="7" t="s">
        <v>22</v>
      </c>
    </row>
    <row r="4" spans="1:2">
      <c r="A4" s="6" t="s">
        <v>23</v>
      </c>
      <c r="B4" s="7" t="s">
        <v>24</v>
      </c>
    </row>
    <row r="5" spans="1:2">
      <c r="A5" s="6" t="s">
        <v>25</v>
      </c>
      <c r="B5" s="7" t="s">
        <v>26</v>
      </c>
    </row>
    <row r="6" spans="1:2">
      <c r="A6" s="6" t="s">
        <v>27</v>
      </c>
      <c r="B6" s="7" t="s">
        <v>28</v>
      </c>
    </row>
    <row r="7" spans="1:2">
      <c r="A7" s="6" t="s">
        <v>29</v>
      </c>
      <c r="B7" s="7" t="s">
        <v>30</v>
      </c>
    </row>
    <row r="8" spans="1:2">
      <c r="A8" s="6" t="s">
        <v>31</v>
      </c>
      <c r="B8" s="7" t="s">
        <v>32</v>
      </c>
    </row>
    <row r="9" spans="1:2">
      <c r="A9" s="6" t="s">
        <v>33</v>
      </c>
      <c r="B9" s="26">
        <v>46310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showGridLines="0" topLeftCell="D1" zoomScaleNormal="100" workbookViewId="0">
      <pane ySplit="1" topLeftCell="A10" activePane="bottomLeft" state="frozen"/>
      <selection pane="bottomLeft" activeCell="I5" sqref="I5"/>
    </sheetView>
  </sheetViews>
  <sheetFormatPr defaultColWidth="8.7109375" defaultRowHeight="14.45"/>
  <cols>
    <col min="1" max="1" width="6" customWidth="1"/>
    <col min="2" max="2" width="30" customWidth="1"/>
    <col min="3" max="3" width="22" customWidth="1"/>
    <col min="4" max="4" width="42" customWidth="1"/>
    <col min="5" max="7" width="30" customWidth="1"/>
    <col min="8" max="8" width="12" customWidth="1"/>
    <col min="9" max="9" width="30" customWidth="1"/>
    <col min="10" max="10" width="12" customWidth="1"/>
    <col min="11" max="11" width="10" customWidth="1"/>
  </cols>
  <sheetData>
    <row r="1" spans="1:11" ht="42" customHeight="1">
      <c r="A1" s="8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  <c r="H1" s="8" t="s">
        <v>41</v>
      </c>
      <c r="I1" s="8" t="s">
        <v>42</v>
      </c>
      <c r="J1" s="8" t="s">
        <v>43</v>
      </c>
      <c r="K1" s="8" t="s">
        <v>44</v>
      </c>
    </row>
    <row r="2" spans="1:11" ht="43.5" customHeight="1">
      <c r="A2" s="9" t="s">
        <v>45</v>
      </c>
      <c r="B2" s="9" t="s">
        <v>46</v>
      </c>
      <c r="C2" s="9" t="s">
        <v>47</v>
      </c>
      <c r="D2" s="9" t="s">
        <v>48</v>
      </c>
      <c r="E2" s="9" t="s">
        <v>49</v>
      </c>
      <c r="F2" s="9" t="s">
        <v>50</v>
      </c>
      <c r="G2" s="9" t="s">
        <v>51</v>
      </c>
      <c r="H2" s="10">
        <v>4</v>
      </c>
      <c r="I2" s="10" t="s">
        <v>52</v>
      </c>
      <c r="J2" s="10">
        <v>4</v>
      </c>
      <c r="K2" s="9" t="str">
        <f t="shared" ref="K2:K37" si="0">IF(H2="","",J2-H2)</f>
        <v/>
      </c>
    </row>
    <row r="3" spans="1:11" ht="43.5" customHeight="1">
      <c r="A3" s="9" t="s">
        <v>53</v>
      </c>
      <c r="B3" s="11" t="s">
        <v>46</v>
      </c>
      <c r="C3" s="11" t="s">
        <v>54</v>
      </c>
      <c r="D3" s="9" t="s">
        <v>55</v>
      </c>
      <c r="E3" s="9" t="s">
        <v>56</v>
      </c>
      <c r="F3" s="9" t="s">
        <v>57</v>
      </c>
      <c r="G3" s="9" t="s">
        <v>58</v>
      </c>
      <c r="H3" s="10">
        <v>4</v>
      </c>
      <c r="I3" s="10" t="s">
        <v>59</v>
      </c>
      <c r="J3" s="10">
        <v>4</v>
      </c>
      <c r="K3" s="9">
        <f t="shared" si="0"/>
        <v>0</v>
      </c>
    </row>
    <row r="4" spans="1:11" ht="29.1" customHeight="1">
      <c r="A4" s="9" t="s">
        <v>60</v>
      </c>
      <c r="B4" s="9" t="s">
        <v>46</v>
      </c>
      <c r="C4" s="9" t="s">
        <v>61</v>
      </c>
      <c r="D4" s="9" t="s">
        <v>62</v>
      </c>
      <c r="E4" s="9" t="s">
        <v>63</v>
      </c>
      <c r="F4" s="9" t="s">
        <v>64</v>
      </c>
      <c r="G4" s="9" t="s">
        <v>65</v>
      </c>
      <c r="H4" s="10">
        <v>4</v>
      </c>
      <c r="I4" s="10" t="s">
        <v>66</v>
      </c>
      <c r="J4" s="10">
        <v>4</v>
      </c>
      <c r="K4" s="9">
        <f t="shared" si="0"/>
        <v>0</v>
      </c>
    </row>
    <row r="5" spans="1:11" ht="43.5" customHeight="1">
      <c r="A5" s="9" t="s">
        <v>67</v>
      </c>
      <c r="B5" s="11" t="s">
        <v>46</v>
      </c>
      <c r="C5" s="11" t="s">
        <v>68</v>
      </c>
      <c r="D5" s="9" t="s">
        <v>69</v>
      </c>
      <c r="E5" s="9" t="s">
        <v>70</v>
      </c>
      <c r="F5" s="9" t="s">
        <v>71</v>
      </c>
      <c r="G5" s="9" t="s">
        <v>72</v>
      </c>
      <c r="H5" s="10">
        <v>4</v>
      </c>
      <c r="I5" s="10" t="s">
        <v>73</v>
      </c>
      <c r="J5" s="10">
        <v>4</v>
      </c>
      <c r="K5" s="9">
        <f t="shared" si="0"/>
        <v>0</v>
      </c>
    </row>
    <row r="6" spans="1:11" ht="29.1" customHeight="1">
      <c r="A6" s="9" t="s">
        <v>74</v>
      </c>
      <c r="B6" s="9" t="s">
        <v>46</v>
      </c>
      <c r="C6" s="9" t="s">
        <v>75</v>
      </c>
      <c r="D6" s="9" t="s">
        <v>76</v>
      </c>
      <c r="E6" s="9" t="s">
        <v>77</v>
      </c>
      <c r="F6" s="9" t="s">
        <v>78</v>
      </c>
      <c r="G6" s="9" t="s">
        <v>79</v>
      </c>
      <c r="H6" s="10">
        <v>4</v>
      </c>
      <c r="I6" s="10" t="s">
        <v>80</v>
      </c>
      <c r="J6" s="10">
        <v>4</v>
      </c>
      <c r="K6" s="9">
        <f t="shared" si="0"/>
        <v>0</v>
      </c>
    </row>
    <row r="7" spans="1:11" ht="43.5" customHeight="1">
      <c r="A7" s="9" t="s">
        <v>81</v>
      </c>
      <c r="B7" s="11" t="s">
        <v>82</v>
      </c>
      <c r="C7" s="11" t="s">
        <v>83</v>
      </c>
      <c r="D7" s="9" t="s">
        <v>84</v>
      </c>
      <c r="E7" s="9" t="s">
        <v>85</v>
      </c>
      <c r="F7" s="9" t="s">
        <v>86</v>
      </c>
      <c r="G7" s="9" t="s">
        <v>87</v>
      </c>
      <c r="H7" s="10">
        <v>4</v>
      </c>
      <c r="I7" s="10" t="s">
        <v>88</v>
      </c>
      <c r="J7" s="10">
        <v>4</v>
      </c>
      <c r="K7" s="9">
        <f t="shared" si="0"/>
        <v>0</v>
      </c>
    </row>
    <row r="8" spans="1:11" ht="29.1" customHeight="1">
      <c r="A8" s="9" t="s">
        <v>89</v>
      </c>
      <c r="B8" s="9" t="s">
        <v>82</v>
      </c>
      <c r="C8" s="9" t="s">
        <v>90</v>
      </c>
      <c r="D8" s="9" t="s">
        <v>91</v>
      </c>
      <c r="E8" s="9" t="s">
        <v>92</v>
      </c>
      <c r="F8" s="9" t="s">
        <v>93</v>
      </c>
      <c r="G8" s="9" t="s">
        <v>94</v>
      </c>
      <c r="H8" s="10">
        <v>3</v>
      </c>
      <c r="I8" s="10" t="s">
        <v>95</v>
      </c>
      <c r="J8" s="10">
        <v>4</v>
      </c>
      <c r="K8" s="9">
        <f t="shared" si="0"/>
        <v>1</v>
      </c>
    </row>
    <row r="9" spans="1:11" ht="43.5" customHeight="1">
      <c r="A9" s="9" t="s">
        <v>96</v>
      </c>
      <c r="B9" s="11" t="s">
        <v>82</v>
      </c>
      <c r="C9" s="11" t="s">
        <v>97</v>
      </c>
      <c r="D9" s="9" t="s">
        <v>98</v>
      </c>
      <c r="E9" s="9" t="s">
        <v>99</v>
      </c>
      <c r="F9" s="9" t="s">
        <v>100</v>
      </c>
      <c r="G9" s="9" t="s">
        <v>101</v>
      </c>
      <c r="H9" s="10">
        <v>3</v>
      </c>
      <c r="I9" s="10" t="s">
        <v>102</v>
      </c>
      <c r="J9" s="10">
        <v>4</v>
      </c>
      <c r="K9" s="9">
        <f t="shared" si="0"/>
        <v>1</v>
      </c>
    </row>
    <row r="10" spans="1:11" ht="29.1" customHeight="1">
      <c r="A10" s="9" t="s">
        <v>103</v>
      </c>
      <c r="B10" s="9" t="s">
        <v>82</v>
      </c>
      <c r="C10" s="9" t="s">
        <v>104</v>
      </c>
      <c r="D10" s="9" t="s">
        <v>105</v>
      </c>
      <c r="E10" s="9" t="s">
        <v>106</v>
      </c>
      <c r="F10" s="9" t="s">
        <v>107</v>
      </c>
      <c r="G10" s="9" t="s">
        <v>108</v>
      </c>
      <c r="H10" s="10">
        <v>2</v>
      </c>
      <c r="I10" s="10" t="s">
        <v>109</v>
      </c>
      <c r="J10" s="10">
        <v>4</v>
      </c>
      <c r="K10" s="9">
        <f t="shared" si="0"/>
        <v>2</v>
      </c>
    </row>
    <row r="11" spans="1:11" ht="29.1" customHeight="1">
      <c r="A11" s="9" t="s">
        <v>110</v>
      </c>
      <c r="B11" s="11" t="s">
        <v>82</v>
      </c>
      <c r="C11" s="11" t="s">
        <v>111</v>
      </c>
      <c r="D11" s="9" t="s">
        <v>112</v>
      </c>
      <c r="E11" s="9" t="s">
        <v>113</v>
      </c>
      <c r="F11" s="9" t="s">
        <v>114</v>
      </c>
      <c r="G11" s="9" t="s">
        <v>115</v>
      </c>
      <c r="H11" s="10">
        <v>3</v>
      </c>
      <c r="I11" s="10" t="s">
        <v>116</v>
      </c>
      <c r="J11" s="10">
        <v>4</v>
      </c>
      <c r="K11" s="9">
        <f t="shared" si="0"/>
        <v>1</v>
      </c>
    </row>
    <row r="12" spans="1:11" ht="29.1" customHeight="1">
      <c r="A12" s="9" t="s">
        <v>117</v>
      </c>
      <c r="B12" s="9" t="s">
        <v>118</v>
      </c>
      <c r="C12" s="9" t="s">
        <v>119</v>
      </c>
      <c r="D12" s="9" t="s">
        <v>120</v>
      </c>
      <c r="E12" s="9" t="s">
        <v>121</v>
      </c>
      <c r="F12" s="9" t="s">
        <v>122</v>
      </c>
      <c r="G12" s="9" t="s">
        <v>123</v>
      </c>
      <c r="H12" s="10">
        <v>4</v>
      </c>
      <c r="I12" s="10" t="s">
        <v>124</v>
      </c>
      <c r="J12" s="10">
        <v>4</v>
      </c>
      <c r="K12" s="9">
        <f t="shared" si="0"/>
        <v>0</v>
      </c>
    </row>
    <row r="13" spans="1:11" ht="29.1" customHeight="1">
      <c r="A13" s="9" t="s">
        <v>125</v>
      </c>
      <c r="B13" s="11" t="s">
        <v>118</v>
      </c>
      <c r="C13" s="11" t="s">
        <v>126</v>
      </c>
      <c r="D13" s="9" t="s">
        <v>127</v>
      </c>
      <c r="E13" s="9" t="s">
        <v>128</v>
      </c>
      <c r="F13" s="9" t="s">
        <v>129</v>
      </c>
      <c r="G13" s="9" t="s">
        <v>130</v>
      </c>
      <c r="H13" s="10">
        <v>2</v>
      </c>
      <c r="I13" s="10" t="s">
        <v>131</v>
      </c>
      <c r="J13" s="10">
        <v>4</v>
      </c>
      <c r="K13" s="9">
        <f t="shared" si="0"/>
        <v>2</v>
      </c>
    </row>
    <row r="14" spans="1:11" ht="29.1" customHeight="1">
      <c r="A14" s="9" t="s">
        <v>132</v>
      </c>
      <c r="B14" s="9" t="s">
        <v>118</v>
      </c>
      <c r="C14" s="9" t="s">
        <v>133</v>
      </c>
      <c r="D14" s="9" t="s">
        <v>134</v>
      </c>
      <c r="E14" s="9" t="s">
        <v>135</v>
      </c>
      <c r="F14" s="9" t="s">
        <v>136</v>
      </c>
      <c r="G14" s="9" t="s">
        <v>137</v>
      </c>
      <c r="H14" s="10">
        <v>5</v>
      </c>
      <c r="I14" s="10" t="s">
        <v>138</v>
      </c>
      <c r="J14" s="10">
        <v>4</v>
      </c>
      <c r="K14" s="9">
        <f t="shared" si="0"/>
        <v>-1</v>
      </c>
    </row>
    <row r="15" spans="1:11" ht="29.1" customHeight="1">
      <c r="A15" s="9" t="s">
        <v>139</v>
      </c>
      <c r="B15" s="11" t="s">
        <v>118</v>
      </c>
      <c r="C15" s="11" t="s">
        <v>140</v>
      </c>
      <c r="D15" s="9" t="s">
        <v>141</v>
      </c>
      <c r="E15" s="9" t="s">
        <v>142</v>
      </c>
      <c r="F15" s="9" t="s">
        <v>143</v>
      </c>
      <c r="G15" s="9" t="s">
        <v>144</v>
      </c>
      <c r="H15" s="10">
        <v>5</v>
      </c>
      <c r="I15" s="10" t="s">
        <v>145</v>
      </c>
      <c r="J15" s="10">
        <v>4</v>
      </c>
      <c r="K15" s="9">
        <f t="shared" si="0"/>
        <v>-1</v>
      </c>
    </row>
    <row r="16" spans="1:11" ht="29.1" customHeight="1">
      <c r="A16" s="9" t="s">
        <v>146</v>
      </c>
      <c r="B16" s="9" t="s">
        <v>118</v>
      </c>
      <c r="C16" s="9" t="s">
        <v>147</v>
      </c>
      <c r="D16" s="9" t="s">
        <v>148</v>
      </c>
      <c r="E16" s="9" t="s">
        <v>149</v>
      </c>
      <c r="F16" s="9" t="s">
        <v>150</v>
      </c>
      <c r="G16" s="9" t="s">
        <v>151</v>
      </c>
      <c r="H16" s="10">
        <v>4</v>
      </c>
      <c r="I16" s="10" t="s">
        <v>152</v>
      </c>
      <c r="J16" s="10">
        <v>4</v>
      </c>
      <c r="K16" s="9">
        <f t="shared" si="0"/>
        <v>0</v>
      </c>
    </row>
    <row r="17" spans="1:11" ht="29.1" customHeight="1">
      <c r="A17" s="9" t="s">
        <v>153</v>
      </c>
      <c r="B17" s="11" t="s">
        <v>118</v>
      </c>
      <c r="C17" s="11" t="s">
        <v>154</v>
      </c>
      <c r="D17" s="9" t="s">
        <v>155</v>
      </c>
      <c r="E17" s="9" t="s">
        <v>156</v>
      </c>
      <c r="F17" s="9" t="s">
        <v>157</v>
      </c>
      <c r="G17" s="9" t="s">
        <v>158</v>
      </c>
      <c r="H17" s="10">
        <v>3</v>
      </c>
      <c r="I17" s="10" t="s">
        <v>159</v>
      </c>
      <c r="J17" s="10">
        <v>4</v>
      </c>
      <c r="K17" s="9">
        <f t="shared" si="0"/>
        <v>1</v>
      </c>
    </row>
    <row r="18" spans="1:11" ht="29.1" customHeight="1">
      <c r="A18" s="9" t="s">
        <v>160</v>
      </c>
      <c r="B18" s="9" t="s">
        <v>161</v>
      </c>
      <c r="C18" s="9" t="s">
        <v>162</v>
      </c>
      <c r="D18" s="9" t="s">
        <v>163</v>
      </c>
      <c r="E18" s="9" t="s">
        <v>164</v>
      </c>
      <c r="F18" s="9" t="s">
        <v>165</v>
      </c>
      <c r="G18" s="9" t="s">
        <v>166</v>
      </c>
      <c r="H18" s="10">
        <v>5</v>
      </c>
      <c r="I18" s="10" t="s">
        <v>167</v>
      </c>
      <c r="J18" s="10">
        <v>4</v>
      </c>
      <c r="K18" s="9">
        <f t="shared" si="0"/>
        <v>-1</v>
      </c>
    </row>
    <row r="19" spans="1:11" ht="29.1" customHeight="1">
      <c r="A19" s="9" t="s">
        <v>168</v>
      </c>
      <c r="B19" s="11" t="s">
        <v>161</v>
      </c>
      <c r="C19" s="11" t="s">
        <v>169</v>
      </c>
      <c r="D19" s="9" t="s">
        <v>170</v>
      </c>
      <c r="E19" s="9" t="s">
        <v>171</v>
      </c>
      <c r="F19" s="9" t="s">
        <v>172</v>
      </c>
      <c r="G19" s="9" t="s">
        <v>173</v>
      </c>
      <c r="H19" s="10">
        <v>4</v>
      </c>
      <c r="I19" s="10" t="s">
        <v>174</v>
      </c>
      <c r="J19" s="10">
        <v>4</v>
      </c>
      <c r="K19" s="9">
        <f t="shared" si="0"/>
        <v>0</v>
      </c>
    </row>
    <row r="20" spans="1:11" ht="29.1" customHeight="1">
      <c r="A20" s="9" t="s">
        <v>175</v>
      </c>
      <c r="B20" s="9" t="s">
        <v>161</v>
      </c>
      <c r="C20" s="9" t="s">
        <v>176</v>
      </c>
      <c r="D20" s="9" t="s">
        <v>177</v>
      </c>
      <c r="E20" s="9" t="s">
        <v>178</v>
      </c>
      <c r="F20" s="9" t="s">
        <v>179</v>
      </c>
      <c r="G20" s="9" t="s">
        <v>180</v>
      </c>
      <c r="H20" s="10">
        <v>4</v>
      </c>
      <c r="I20" s="10" t="s">
        <v>181</v>
      </c>
      <c r="J20" s="10">
        <v>4</v>
      </c>
      <c r="K20" s="9">
        <f t="shared" si="0"/>
        <v>0</v>
      </c>
    </row>
    <row r="21" spans="1:11" ht="29.1" customHeight="1">
      <c r="A21" s="9" t="s">
        <v>182</v>
      </c>
      <c r="B21" s="11" t="s">
        <v>161</v>
      </c>
      <c r="C21" s="11" t="s">
        <v>183</v>
      </c>
      <c r="D21" s="9" t="s">
        <v>184</v>
      </c>
      <c r="E21" s="9" t="s">
        <v>185</v>
      </c>
      <c r="F21" s="9" t="s">
        <v>186</v>
      </c>
      <c r="G21" s="9" t="s">
        <v>187</v>
      </c>
      <c r="H21" s="10">
        <v>4</v>
      </c>
      <c r="I21" s="10" t="s">
        <v>188</v>
      </c>
      <c r="J21" s="10">
        <v>4</v>
      </c>
      <c r="K21" s="9">
        <f t="shared" si="0"/>
        <v>0</v>
      </c>
    </row>
    <row r="22" spans="1:11" ht="29.1" customHeight="1">
      <c r="A22" s="9" t="s">
        <v>189</v>
      </c>
      <c r="B22" s="9" t="s">
        <v>161</v>
      </c>
      <c r="C22" s="9" t="s">
        <v>190</v>
      </c>
      <c r="D22" s="9" t="s">
        <v>191</v>
      </c>
      <c r="E22" s="9" t="s">
        <v>192</v>
      </c>
      <c r="F22" s="9" t="s">
        <v>193</v>
      </c>
      <c r="G22" s="9" t="s">
        <v>194</v>
      </c>
      <c r="H22" s="10">
        <v>4</v>
      </c>
      <c r="I22" s="10" t="s">
        <v>195</v>
      </c>
      <c r="J22" s="10">
        <v>4</v>
      </c>
      <c r="K22" s="9">
        <f t="shared" si="0"/>
        <v>0</v>
      </c>
    </row>
    <row r="23" spans="1:11" ht="29.1" customHeight="1">
      <c r="A23" s="9" t="s">
        <v>196</v>
      </c>
      <c r="B23" s="11" t="s">
        <v>197</v>
      </c>
      <c r="C23" s="11" t="s">
        <v>198</v>
      </c>
      <c r="D23" s="9" t="s">
        <v>199</v>
      </c>
      <c r="E23" s="9" t="s">
        <v>200</v>
      </c>
      <c r="F23" s="9" t="s">
        <v>201</v>
      </c>
      <c r="G23" s="9" t="s">
        <v>202</v>
      </c>
      <c r="H23" s="10">
        <v>3</v>
      </c>
      <c r="I23" s="10" t="s">
        <v>203</v>
      </c>
      <c r="J23" s="10">
        <v>4</v>
      </c>
      <c r="K23" s="9">
        <f t="shared" si="0"/>
        <v>1</v>
      </c>
    </row>
    <row r="24" spans="1:11" ht="29.1" customHeight="1">
      <c r="A24" s="9" t="s">
        <v>204</v>
      </c>
      <c r="B24" s="9" t="s">
        <v>197</v>
      </c>
      <c r="C24" s="9" t="s">
        <v>205</v>
      </c>
      <c r="D24" s="9" t="s">
        <v>206</v>
      </c>
      <c r="E24" s="9" t="s">
        <v>207</v>
      </c>
      <c r="F24" s="9" t="s">
        <v>208</v>
      </c>
      <c r="G24" s="9" t="s">
        <v>209</v>
      </c>
      <c r="H24" s="10">
        <v>4</v>
      </c>
      <c r="I24" s="10" t="s">
        <v>210</v>
      </c>
      <c r="J24" s="10">
        <v>4</v>
      </c>
      <c r="K24" s="9">
        <f t="shared" si="0"/>
        <v>0</v>
      </c>
    </row>
    <row r="25" spans="1:11" ht="29.1" customHeight="1">
      <c r="A25" s="9" t="s">
        <v>211</v>
      </c>
      <c r="B25" s="11" t="s">
        <v>197</v>
      </c>
      <c r="C25" s="11" t="s">
        <v>212</v>
      </c>
      <c r="D25" s="9" t="s">
        <v>213</v>
      </c>
      <c r="E25" s="9" t="s">
        <v>214</v>
      </c>
      <c r="F25" s="9" t="s">
        <v>215</v>
      </c>
      <c r="G25" s="9" t="s">
        <v>216</v>
      </c>
      <c r="H25" s="10">
        <v>4</v>
      </c>
      <c r="I25" s="10" t="s">
        <v>217</v>
      </c>
      <c r="J25" s="10">
        <v>4</v>
      </c>
      <c r="K25" s="9">
        <f t="shared" si="0"/>
        <v>0</v>
      </c>
    </row>
    <row r="26" spans="1:11" ht="43.5" customHeight="1">
      <c r="A26" s="9" t="s">
        <v>218</v>
      </c>
      <c r="B26" s="9" t="s">
        <v>197</v>
      </c>
      <c r="C26" s="9" t="s">
        <v>219</v>
      </c>
      <c r="D26" s="9" t="s">
        <v>220</v>
      </c>
      <c r="E26" s="9" t="s">
        <v>221</v>
      </c>
      <c r="F26" s="9" t="s">
        <v>222</v>
      </c>
      <c r="G26" s="9" t="s">
        <v>223</v>
      </c>
      <c r="H26" s="10">
        <v>4</v>
      </c>
      <c r="I26" s="10" t="s">
        <v>224</v>
      </c>
      <c r="J26" s="10">
        <v>4</v>
      </c>
      <c r="K26" s="9">
        <f t="shared" si="0"/>
        <v>0</v>
      </c>
    </row>
    <row r="27" spans="1:11" ht="29.1" customHeight="1">
      <c r="A27" s="9" t="s">
        <v>225</v>
      </c>
      <c r="B27" s="11" t="s">
        <v>197</v>
      </c>
      <c r="C27" s="11" t="s">
        <v>226</v>
      </c>
      <c r="D27" s="9" t="s">
        <v>227</v>
      </c>
      <c r="E27" s="9" t="s">
        <v>228</v>
      </c>
      <c r="F27" s="9" t="s">
        <v>229</v>
      </c>
      <c r="G27" s="9" t="s">
        <v>230</v>
      </c>
      <c r="H27" s="10">
        <v>4</v>
      </c>
      <c r="I27" s="10" t="s">
        <v>231</v>
      </c>
      <c r="J27" s="10">
        <v>4</v>
      </c>
      <c r="K27" s="9">
        <f t="shared" si="0"/>
        <v>0</v>
      </c>
    </row>
    <row r="28" spans="1:11" ht="29.1" customHeight="1">
      <c r="A28" s="9" t="s">
        <v>232</v>
      </c>
      <c r="B28" s="9" t="s">
        <v>233</v>
      </c>
      <c r="C28" s="9" t="s">
        <v>234</v>
      </c>
      <c r="D28" s="9" t="s">
        <v>235</v>
      </c>
      <c r="E28" s="9" t="s">
        <v>236</v>
      </c>
      <c r="F28" s="9" t="s">
        <v>237</v>
      </c>
      <c r="G28" s="9" t="s">
        <v>238</v>
      </c>
      <c r="H28" s="10">
        <v>4</v>
      </c>
      <c r="I28" s="10" t="s">
        <v>239</v>
      </c>
      <c r="J28" s="10">
        <v>4</v>
      </c>
      <c r="K28" s="9">
        <f t="shared" si="0"/>
        <v>0</v>
      </c>
    </row>
    <row r="29" spans="1:11" ht="29.1" customHeight="1">
      <c r="A29" s="9" t="s">
        <v>240</v>
      </c>
      <c r="B29" s="11" t="s">
        <v>233</v>
      </c>
      <c r="C29" s="11" t="s">
        <v>241</v>
      </c>
      <c r="D29" s="9" t="s">
        <v>242</v>
      </c>
      <c r="E29" s="9" t="s">
        <v>243</v>
      </c>
      <c r="F29" s="9" t="s">
        <v>244</v>
      </c>
      <c r="G29" s="9" t="s">
        <v>245</v>
      </c>
      <c r="H29" s="10">
        <v>3</v>
      </c>
      <c r="I29" s="10" t="s">
        <v>246</v>
      </c>
      <c r="J29" s="10">
        <v>4</v>
      </c>
      <c r="K29" s="9">
        <f t="shared" si="0"/>
        <v>1</v>
      </c>
    </row>
    <row r="30" spans="1:11" ht="29.1" customHeight="1">
      <c r="A30" s="9" t="s">
        <v>247</v>
      </c>
      <c r="B30" s="9" t="s">
        <v>233</v>
      </c>
      <c r="C30" s="9" t="s">
        <v>248</v>
      </c>
      <c r="D30" s="9" t="s">
        <v>249</v>
      </c>
      <c r="E30" s="9" t="s">
        <v>250</v>
      </c>
      <c r="F30" s="9" t="s">
        <v>251</v>
      </c>
      <c r="G30" s="9" t="s">
        <v>252</v>
      </c>
      <c r="H30" s="10">
        <v>4</v>
      </c>
      <c r="I30" s="10" t="s">
        <v>253</v>
      </c>
      <c r="J30" s="10">
        <v>4</v>
      </c>
      <c r="K30" s="9">
        <f t="shared" si="0"/>
        <v>0</v>
      </c>
    </row>
    <row r="31" spans="1:11" ht="29.1" customHeight="1">
      <c r="A31" s="9" t="s">
        <v>254</v>
      </c>
      <c r="B31" s="11" t="s">
        <v>233</v>
      </c>
      <c r="C31" s="11" t="s">
        <v>255</v>
      </c>
      <c r="D31" s="9" t="s">
        <v>256</v>
      </c>
      <c r="E31" s="9" t="s">
        <v>257</v>
      </c>
      <c r="F31" s="9" t="s">
        <v>258</v>
      </c>
      <c r="G31" s="9" t="s">
        <v>259</v>
      </c>
      <c r="H31" s="10">
        <v>3</v>
      </c>
      <c r="I31" s="10" t="s">
        <v>260</v>
      </c>
      <c r="J31" s="10">
        <v>4</v>
      </c>
      <c r="K31" s="9">
        <f t="shared" si="0"/>
        <v>1</v>
      </c>
    </row>
    <row r="32" spans="1:11" ht="29.1" customHeight="1">
      <c r="A32" s="9" t="s">
        <v>261</v>
      </c>
      <c r="B32" s="9" t="s">
        <v>233</v>
      </c>
      <c r="C32" s="9" t="s">
        <v>262</v>
      </c>
      <c r="D32" s="9" t="s">
        <v>263</v>
      </c>
      <c r="E32" s="9" t="s">
        <v>264</v>
      </c>
      <c r="F32" s="9" t="s">
        <v>265</v>
      </c>
      <c r="G32" s="9" t="s">
        <v>266</v>
      </c>
      <c r="H32" s="10">
        <v>3</v>
      </c>
      <c r="I32" s="10" t="s">
        <v>267</v>
      </c>
      <c r="J32" s="10">
        <v>4</v>
      </c>
      <c r="K32" s="9">
        <f t="shared" si="0"/>
        <v>1</v>
      </c>
    </row>
    <row r="33" spans="1:11" ht="29.1" customHeight="1">
      <c r="A33" s="9" t="s">
        <v>268</v>
      </c>
      <c r="B33" s="11" t="s">
        <v>269</v>
      </c>
      <c r="C33" s="11" t="s">
        <v>270</v>
      </c>
      <c r="D33" s="9" t="s">
        <v>271</v>
      </c>
      <c r="E33" s="9" t="s">
        <v>272</v>
      </c>
      <c r="F33" s="9" t="s">
        <v>273</v>
      </c>
      <c r="G33" s="9" t="s">
        <v>274</v>
      </c>
      <c r="H33" s="10">
        <v>4</v>
      </c>
      <c r="I33" s="10" t="s">
        <v>275</v>
      </c>
      <c r="J33" s="10">
        <v>4</v>
      </c>
      <c r="K33" s="9">
        <f t="shared" si="0"/>
        <v>0</v>
      </c>
    </row>
    <row r="34" spans="1:11" ht="29.1" customHeight="1">
      <c r="A34" s="9" t="s">
        <v>276</v>
      </c>
      <c r="B34" s="9" t="s">
        <v>269</v>
      </c>
      <c r="C34" s="9" t="s">
        <v>277</v>
      </c>
      <c r="D34" s="9" t="s">
        <v>278</v>
      </c>
      <c r="E34" s="9" t="s">
        <v>279</v>
      </c>
      <c r="F34" s="9" t="s">
        <v>280</v>
      </c>
      <c r="G34" s="9" t="s">
        <v>281</v>
      </c>
      <c r="H34" s="10">
        <v>3</v>
      </c>
      <c r="I34" s="10" t="s">
        <v>282</v>
      </c>
      <c r="J34" s="10">
        <v>4</v>
      </c>
      <c r="K34" s="9">
        <f t="shared" si="0"/>
        <v>1</v>
      </c>
    </row>
    <row r="35" spans="1:11" ht="29.1" customHeight="1">
      <c r="A35" s="9" t="s">
        <v>283</v>
      </c>
      <c r="B35" s="11" t="s">
        <v>269</v>
      </c>
      <c r="C35" s="11" t="s">
        <v>284</v>
      </c>
      <c r="D35" s="9" t="s">
        <v>285</v>
      </c>
      <c r="E35" s="9" t="s">
        <v>286</v>
      </c>
      <c r="F35" s="9" t="s">
        <v>287</v>
      </c>
      <c r="G35" s="9" t="s">
        <v>288</v>
      </c>
      <c r="H35" s="10">
        <v>4</v>
      </c>
      <c r="I35" s="10" t="s">
        <v>289</v>
      </c>
      <c r="J35" s="10">
        <v>4</v>
      </c>
      <c r="K35" s="9">
        <f t="shared" si="0"/>
        <v>0</v>
      </c>
    </row>
    <row r="36" spans="1:11" ht="29.1" customHeight="1">
      <c r="A36" s="9" t="s">
        <v>290</v>
      </c>
      <c r="B36" s="9" t="s">
        <v>269</v>
      </c>
      <c r="C36" s="9" t="s">
        <v>291</v>
      </c>
      <c r="D36" s="9" t="s">
        <v>292</v>
      </c>
      <c r="E36" s="9" t="s">
        <v>293</v>
      </c>
      <c r="F36" s="9" t="s">
        <v>294</v>
      </c>
      <c r="G36" s="9" t="s">
        <v>295</v>
      </c>
      <c r="H36" s="10">
        <v>3</v>
      </c>
      <c r="I36" s="10" t="s">
        <v>296</v>
      </c>
      <c r="J36" s="10">
        <v>4</v>
      </c>
      <c r="K36" s="9">
        <f t="shared" si="0"/>
        <v>1</v>
      </c>
    </row>
    <row r="37" spans="1:11" ht="29.1" customHeight="1">
      <c r="A37" s="9" t="s">
        <v>297</v>
      </c>
      <c r="B37" s="11" t="s">
        <v>269</v>
      </c>
      <c r="C37" s="11" t="s">
        <v>298</v>
      </c>
      <c r="D37" s="9" t="s">
        <v>299</v>
      </c>
      <c r="E37" s="9" t="s">
        <v>300</v>
      </c>
      <c r="F37" s="9" t="s">
        <v>301</v>
      </c>
      <c r="G37" s="9" t="s">
        <v>302</v>
      </c>
      <c r="H37" s="10">
        <v>3</v>
      </c>
      <c r="I37" s="10" t="s">
        <v>303</v>
      </c>
      <c r="J37" s="10">
        <v>4</v>
      </c>
      <c r="K37" s="9">
        <f t="shared" si="0"/>
        <v>1</v>
      </c>
    </row>
  </sheetData>
  <dataValidations count="1">
    <dataValidation type="list" allowBlank="1" sqref="H2:H37 J2:J37" xr:uid="{00000000-0002-0000-0200-000000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zoomScaleNormal="100" workbookViewId="0">
      <selection activeCell="B8" sqref="B8"/>
    </sheetView>
  </sheetViews>
  <sheetFormatPr defaultColWidth="8.7109375" defaultRowHeight="14.45"/>
  <cols>
    <col min="1" max="1" width="40" customWidth="1"/>
    <col min="2" max="2" width="10" customWidth="1"/>
    <col min="3" max="5" width="16" customWidth="1"/>
    <col min="6" max="6" width="20" customWidth="1"/>
  </cols>
  <sheetData>
    <row r="1" spans="1:6" ht="27.95" customHeight="1">
      <c r="A1" s="8" t="s">
        <v>35</v>
      </c>
      <c r="B1" s="8" t="s">
        <v>304</v>
      </c>
      <c r="C1" s="8" t="s">
        <v>305</v>
      </c>
      <c r="D1" s="8" t="s">
        <v>306</v>
      </c>
      <c r="E1" s="8" t="s">
        <v>307</v>
      </c>
      <c r="F1" s="8" t="s">
        <v>308</v>
      </c>
    </row>
    <row r="2" spans="1:6">
      <c r="A2" s="12" t="s">
        <v>46</v>
      </c>
      <c r="B2" s="13">
        <v>0.15</v>
      </c>
      <c r="C2" s="14">
        <f>IFERROR(AVERAGEIF('2. Diagnóstico'!$B$2:$B$37,$A2,'2. Diagnóstico'!$H$2:$H$37),"")</f>
        <v>4</v>
      </c>
      <c r="D2" s="14">
        <f>IFERROR(AVERAGEIF('2. Diagnóstico'!$B$2:$B$37,$A2,'2. Diagnóstico'!$J$2:$J$37),"")</f>
        <v>4</v>
      </c>
      <c r="E2" s="14">
        <f t="shared" ref="E2:E8" si="0">IF(OR(C2="",D2=""),"",D2-C2)</f>
        <v>0</v>
      </c>
      <c r="F2" s="15">
        <f t="shared" ref="F2:F8" si="1">IF(C2="",0,C2*B2)</f>
        <v>0.6</v>
      </c>
    </row>
    <row r="3" spans="1:6">
      <c r="A3" s="12" t="s">
        <v>82</v>
      </c>
      <c r="B3" s="13">
        <v>0.15</v>
      </c>
      <c r="C3" s="14">
        <f>IFERROR(AVERAGEIF('2. Diagnóstico'!$B$2:$B$37,$A3,'2. Diagnóstico'!$H$2:$H$37),"")</f>
        <v>3</v>
      </c>
      <c r="D3" s="14">
        <f>IFERROR(AVERAGEIF('2. Diagnóstico'!$B$2:$B$37,$A3,'2. Diagnóstico'!$J$2:$J$37),"")</f>
        <v>4</v>
      </c>
      <c r="E3" s="14">
        <f t="shared" si="0"/>
        <v>1</v>
      </c>
      <c r="F3" s="15">
        <f t="shared" si="1"/>
        <v>0.44999999999999996</v>
      </c>
    </row>
    <row r="4" spans="1:6">
      <c r="A4" s="12" t="s">
        <v>118</v>
      </c>
      <c r="B4" s="13">
        <v>0.2</v>
      </c>
      <c r="C4" s="14">
        <f>IFERROR(AVERAGEIF('2. Diagnóstico'!$B$2:$B$37,$A4,'2. Diagnóstico'!$H$2:$H$37),"")</f>
        <v>3.8333333333333335</v>
      </c>
      <c r="D4" s="14">
        <f>IFERROR(AVERAGEIF('2. Diagnóstico'!$B$2:$B$37,$A4,'2. Diagnóstico'!$J$2:$J$37),"")</f>
        <v>4</v>
      </c>
      <c r="E4" s="14">
        <f t="shared" si="0"/>
        <v>0.16666666666666652</v>
      </c>
      <c r="F4" s="15">
        <f t="shared" si="1"/>
        <v>0.76666666666666672</v>
      </c>
    </row>
    <row r="5" spans="1:6">
      <c r="A5" s="12" t="s">
        <v>161</v>
      </c>
      <c r="B5" s="13">
        <v>0.15</v>
      </c>
      <c r="C5" s="14">
        <f>IFERROR(AVERAGEIF('2. Diagnóstico'!$B$2:$B$37,$A5,'2. Diagnóstico'!$H$2:$H$37),"")</f>
        <v>4.2</v>
      </c>
      <c r="D5" s="14">
        <f>IFERROR(AVERAGEIF('2. Diagnóstico'!$B$2:$B$37,$A5,'2. Diagnóstico'!$J$2:$J$37),"")</f>
        <v>4</v>
      </c>
      <c r="E5" s="14">
        <f t="shared" si="0"/>
        <v>-0.20000000000000018</v>
      </c>
      <c r="F5" s="15">
        <f t="shared" si="1"/>
        <v>0.63</v>
      </c>
    </row>
    <row r="6" spans="1:6">
      <c r="A6" s="12" t="s">
        <v>197</v>
      </c>
      <c r="B6" s="13">
        <v>0.15</v>
      </c>
      <c r="C6" s="14">
        <f>IFERROR(AVERAGEIF('2. Diagnóstico'!$B$2:$B$37,$A6,'2. Diagnóstico'!$H$2:$H$37),"")</f>
        <v>3.8</v>
      </c>
      <c r="D6" s="14">
        <f>IFERROR(AVERAGEIF('2. Diagnóstico'!$B$2:$B$37,$A6,'2. Diagnóstico'!$J$2:$J$37),"")</f>
        <v>4</v>
      </c>
      <c r="E6" s="14">
        <f t="shared" si="0"/>
        <v>0.20000000000000018</v>
      </c>
      <c r="F6" s="15">
        <f t="shared" si="1"/>
        <v>0.56999999999999995</v>
      </c>
    </row>
    <row r="7" spans="1:6">
      <c r="A7" s="12" t="s">
        <v>233</v>
      </c>
      <c r="B7" s="13">
        <v>0.1</v>
      </c>
      <c r="C7" s="14">
        <f>IFERROR(AVERAGEIF('2. Diagnóstico'!$B$2:$B$37,$A7,'2. Diagnóstico'!$H$2:$H$37),"")</f>
        <v>3.4</v>
      </c>
      <c r="D7" s="14">
        <f>IFERROR(AVERAGEIF('2. Diagnóstico'!$B$2:$B$37,$A7,'2. Diagnóstico'!$J$2:$J$37),"")</f>
        <v>4</v>
      </c>
      <c r="E7" s="14">
        <f t="shared" si="0"/>
        <v>0.60000000000000009</v>
      </c>
      <c r="F7" s="15">
        <f t="shared" si="1"/>
        <v>0.34</v>
      </c>
    </row>
    <row r="8" spans="1:6">
      <c r="A8" s="12" t="s">
        <v>269</v>
      </c>
      <c r="B8" s="13">
        <v>0.1</v>
      </c>
      <c r="C8" s="14">
        <f>IFERROR(AVERAGEIF('2. Diagnóstico'!$B$2:$B$37,$A8,'2. Diagnóstico'!$H$2:$H$37),"")</f>
        <v>3.4</v>
      </c>
      <c r="D8" s="14">
        <f>IFERROR(AVERAGEIF('2. Diagnóstico'!$B$2:$B$37,$A8,'2. Diagnóstico'!$J$2:$J$37),"")</f>
        <v>4</v>
      </c>
      <c r="E8" s="14">
        <f t="shared" si="0"/>
        <v>0.60000000000000009</v>
      </c>
      <c r="F8" s="15">
        <f t="shared" si="1"/>
        <v>0.34</v>
      </c>
    </row>
    <row r="9" spans="1:6">
      <c r="A9" s="16" t="s">
        <v>309</v>
      </c>
      <c r="B9" s="17">
        <f>SUM(B2:B8)</f>
        <v>1</v>
      </c>
      <c r="C9" s="18"/>
      <c r="D9" s="18"/>
      <c r="E9" s="18"/>
      <c r="F9" s="19">
        <f>SUM(F2:F8)</f>
        <v>3.6966666666666659</v>
      </c>
    </row>
    <row r="11" spans="1:6" ht="15.6" customHeight="1">
      <c r="A11" s="20" t="s">
        <v>310</v>
      </c>
      <c r="B11" s="29" t="str">
        <f>IF(F9=0,"Sin datos",IF(F9&lt;1.5,"1 - Inicial",IF(F9&lt;2.5,"2 - Emergente",IF(F9&lt;3.5,"3 - Definido",IF(F9&lt;4.5,"4 - Gestionado","5 - Optimizado")))))</f>
        <v>4 - Gestionado</v>
      </c>
      <c r="C11" s="28"/>
      <c r="D11" s="28"/>
    </row>
  </sheetData>
  <mergeCells count="1">
    <mergeCell ref="B11:D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showGridLines="0" tabSelected="1" topLeftCell="A10" zoomScaleNormal="100" workbookViewId="0">
      <selection activeCell="F31" sqref="F31"/>
    </sheetView>
  </sheetViews>
  <sheetFormatPr defaultColWidth="8.7109375" defaultRowHeight="14.45"/>
  <cols>
    <col min="1" max="1" width="30" customWidth="1"/>
    <col min="2" max="7" width="16" customWidth="1"/>
    <col min="9" max="9" width="34" customWidth="1"/>
    <col min="10" max="10" width="26" customWidth="1"/>
    <col min="11" max="11" width="10" customWidth="1"/>
  </cols>
  <sheetData>
    <row r="1" spans="1:12" ht="18.95" customHeight="1">
      <c r="A1" s="30" t="s">
        <v>311</v>
      </c>
      <c r="B1" s="28"/>
      <c r="C1" s="28"/>
      <c r="D1" s="28"/>
      <c r="E1" s="28"/>
      <c r="F1" s="28"/>
      <c r="G1" s="28"/>
    </row>
    <row r="3" spans="1:12">
      <c r="A3" s="20" t="s">
        <v>312</v>
      </c>
      <c r="C3" s="20" t="s">
        <v>313</v>
      </c>
      <c r="F3" s="20" t="s">
        <v>314</v>
      </c>
      <c r="I3" s="31" t="s">
        <v>315</v>
      </c>
      <c r="J3" s="28"/>
      <c r="K3" s="28"/>
      <c r="L3" s="28"/>
    </row>
    <row r="4" spans="1:12" ht="35.1" customHeight="1">
      <c r="A4" s="21">
        <f>'3. Resultados x Dimensión'!F9</f>
        <v>3.6966666666666659</v>
      </c>
      <c r="C4" s="32" t="str">
        <f>'3. Resultados x Dimensión'!B11</f>
        <v>4 - Gestionado</v>
      </c>
      <c r="D4" s="28"/>
      <c r="E4" s="28"/>
      <c r="F4" s="33" t="str">
        <f>IFERROR(INDEX('3. Resultados x Dimensión'!A2:A8,MATCH(MAX('3. Resultados x Dimensión'!C2:C8),'3. Resultados x Dimensión'!C2:C8,0)),"Sin datos")</f>
        <v>4. Arquitectura e Integración</v>
      </c>
      <c r="G4" s="28"/>
      <c r="I4" s="22" t="s">
        <v>316</v>
      </c>
      <c r="J4" s="22" t="s">
        <v>35</v>
      </c>
      <c r="K4" s="22" t="s">
        <v>44</v>
      </c>
    </row>
    <row r="5" spans="1:12">
      <c r="A5" s="23" t="s">
        <v>317</v>
      </c>
      <c r="F5" s="20" t="s">
        <v>318</v>
      </c>
      <c r="I5" s="9" t="str">
        <f>IFERROR(INDEX('5. Brechas y Priorización'!$C$2:$C$37,MATCH(1,'5. Brechas y Priorización'!$G$2:$G$37,0)),"")</f>
        <v>Se miden tiempos de ciclo y cuellos de botella de los procesos?</v>
      </c>
      <c r="J5" s="9" t="str">
        <f>IFERROR(INDEX('5. Brechas y Priorización'!$B$2:$B$37,MATCH(1,'5. Brechas y Priorización'!$G$2:$G$37,0)),"")</f>
        <v>2. Procesos y Operación</v>
      </c>
      <c r="K5" s="9">
        <f>IFERROR(INDEX('5. Brechas y Priorización'!$D$2:$D$37,MATCH(1,'5. Brechas y Priorización'!$G$2:$G$37,0)),"")</f>
        <v>2</v>
      </c>
    </row>
    <row r="6" spans="1:12" ht="24.95" customHeight="1">
      <c r="A6" s="24">
        <f>COUNTIF('5. Brechas y Priorización'!D2:D37,"&gt;=3")</f>
        <v>0</v>
      </c>
      <c r="F6" s="34" t="str">
        <f>IFERROR(INDEX('3. Resultados x Dimensión'!A2:A8,MATCH(MIN('3. Resultados x Dimensión'!C2:C8),'3. Resultados x Dimensión'!C2:C8,0)),"Sin datos")</f>
        <v>2. Procesos y Operación</v>
      </c>
      <c r="G6" s="28"/>
      <c r="I6" s="9" t="str">
        <f>IFERROR(INDEX('5. Brechas y Priorización'!$C$2:$C$37,MATCH(2,'5. Brechas y Priorización'!$G$2:$G$37,0)),"")</f>
        <v>Se mide y gestiona la calidad de los datos (duplicados, completitud, exactitud)?</v>
      </c>
      <c r="J6" s="9" t="str">
        <f>IFERROR(INDEX('5. Brechas y Priorización'!$B$2:$B$37,MATCH(2,'5. Brechas y Priorización'!$G$2:$G$37,0)),"")</f>
        <v>3. Datos, Analítica e IA</v>
      </c>
      <c r="K6" s="9">
        <f>IFERROR(INDEX('5. Brechas y Priorización'!$D$2:$D$37,MATCH(2,'5. Brechas y Priorización'!$G$2:$G$37,0)),"")</f>
        <v>2</v>
      </c>
    </row>
    <row r="7" spans="1:12">
      <c r="A7" s="20" t="s">
        <v>35</v>
      </c>
      <c r="B7" s="20" t="s">
        <v>319</v>
      </c>
      <c r="C7" s="20" t="s">
        <v>320</v>
      </c>
      <c r="E7" t="s">
        <v>44</v>
      </c>
      <c r="I7" s="9" t="str">
        <f>IFERROR(INDEX('5. Brechas y Priorización'!$C$2:$C$37,MATCH(3,'5. Brechas y Priorización'!$G$2:$G$37,0)),"")</f>
        <v>Los procesos se ejecutan de manera estandarizada entre áreas, turnos o personas?</v>
      </c>
      <c r="J7" s="9" t="str">
        <f>IFERROR(INDEX('5. Brechas y Priorización'!$B$2:$B$37,MATCH(3,'5. Brechas y Priorización'!$G$2:$G$37,0)),"")</f>
        <v>2. Procesos y Operación</v>
      </c>
      <c r="K7" s="9">
        <f>IFERROR(INDEX('5. Brechas y Priorización'!$D$2:$D$37,MATCH(3,'5. Brechas y Priorización'!$G$2:$G$37,0)),"")</f>
        <v>1</v>
      </c>
    </row>
    <row r="8" spans="1:12">
      <c r="A8" t="str">
        <f>'3. Resultados x Dimensión'!A2</f>
        <v>1. Estrategia y Gobierno de TI</v>
      </c>
      <c r="B8">
        <f>'3. Resultados x Dimensión'!C2</f>
        <v>4</v>
      </c>
      <c r="C8" s="25">
        <f>'3. Resultados x Dimensión'!D2</f>
        <v>4</v>
      </c>
      <c r="E8">
        <f>'3. Resultados x Dimensión'!E2</f>
        <v>0</v>
      </c>
      <c r="I8" s="9" t="str">
        <f>IFERROR(INDEX('5. Brechas y Priorización'!$C$2:$C$37,MATCH(4,'5. Brechas y Priorización'!$G$2:$G$37,0)),"")</f>
        <v>Qué proporción de los procesos clave tiene algún grado de automatización (RPA, BPM, workflow)?</v>
      </c>
      <c r="J8" s="9" t="str">
        <f>IFERROR(INDEX('5. Brechas y Priorización'!$B$2:$B$37,MATCH(4,'5. Brechas y Priorización'!$G$2:$G$37,0)),"")</f>
        <v>2. Procesos y Operación</v>
      </c>
      <c r="K8" s="9">
        <f>IFERROR(INDEX('5. Brechas y Priorización'!$D$2:$D$37,MATCH(4,'5. Brechas y Priorización'!$G$2:$G$37,0)),"")</f>
        <v>1</v>
      </c>
    </row>
    <row r="9" spans="1:12">
      <c r="A9" t="str">
        <f>'3. Resultados x Dimensión'!A3</f>
        <v>2. Procesos y Operación</v>
      </c>
      <c r="B9">
        <f>'3. Resultados x Dimensión'!C3</f>
        <v>3</v>
      </c>
      <c r="C9" s="25">
        <f>'3. Resultados x Dimensión'!D3</f>
        <v>4</v>
      </c>
      <c r="E9">
        <f>'3. Resultados x Dimensión'!E3</f>
        <v>1</v>
      </c>
      <c r="I9" s="9" t="str">
        <f>IFERROR(INDEX('5. Brechas y Priorización'!$C$2:$C$37,MATCH(5,'5. Brechas y Priorización'!$G$2:$G$37,0)),"")</f>
        <v>Existe un mecanismo formal de mejora continua de procesos?</v>
      </c>
      <c r="J9" s="9" t="str">
        <f>IFERROR(INDEX('5. Brechas y Priorización'!$B$2:$B$37,MATCH(5,'5. Brechas y Priorización'!$G$2:$G$37,0)),"")</f>
        <v>2. Procesos y Operación</v>
      </c>
      <c r="K9" s="9">
        <f>IFERROR(INDEX('5. Brechas y Priorización'!$D$2:$D$37,MATCH(5,'5. Brechas y Priorización'!$G$2:$G$37,0)),"")</f>
        <v>1</v>
      </c>
    </row>
    <row r="10" spans="1:12">
      <c r="A10" t="str">
        <f>'3. Resultados x Dimensión'!A4</f>
        <v>3. Datos, Analítica e IA</v>
      </c>
      <c r="B10">
        <f>'3. Resultados x Dimensión'!C4</f>
        <v>3.8333333333333335</v>
      </c>
      <c r="C10" s="25">
        <f>'3. Resultados x Dimensión'!D4</f>
        <v>4</v>
      </c>
      <c r="E10">
        <f>'3. Resultados x Dimensión'!E4</f>
        <v>0.16666666666666652</v>
      </c>
    </row>
    <row r="11" spans="1:12">
      <c r="A11" t="str">
        <f>'3. Resultados x Dimensión'!A5</f>
        <v>4. Arquitectura e Integración</v>
      </c>
      <c r="B11">
        <f>'3. Resultados x Dimensión'!C5</f>
        <v>4.2</v>
      </c>
      <c r="C11" s="25">
        <f>'3. Resultados x Dimensión'!D5</f>
        <v>4</v>
      </c>
      <c r="E11">
        <f>'3. Resultados x Dimensión'!E5</f>
        <v>-0.20000000000000018</v>
      </c>
    </row>
    <row r="12" spans="1:12">
      <c r="A12" t="str">
        <f>'3. Resultados x Dimensión'!A6</f>
        <v>5. Ciberseguridad y Riesgo</v>
      </c>
      <c r="B12">
        <f>'3. Resultados x Dimensión'!C6</f>
        <v>3.8</v>
      </c>
      <c r="C12" s="25">
        <f>'3. Resultados x Dimensión'!D6</f>
        <v>4</v>
      </c>
      <c r="E12">
        <f>'3. Resultados x Dimensión'!E6</f>
        <v>0.20000000000000018</v>
      </c>
    </row>
    <row r="13" spans="1:12">
      <c r="A13" t="str">
        <f>'3. Resultados x Dimensión'!A7</f>
        <v>6. Cultura, Talento y Gestión del Cambio</v>
      </c>
      <c r="B13">
        <f>'3. Resultados x Dimensión'!C7</f>
        <v>3.4</v>
      </c>
      <c r="C13" s="25">
        <f>'3. Resultados x Dimensión'!D7</f>
        <v>4</v>
      </c>
      <c r="E13">
        <f>'3. Resultados x Dimensión'!E7</f>
        <v>0.60000000000000009</v>
      </c>
    </row>
    <row r="14" spans="1:12">
      <c r="A14" t="str">
        <f>'3. Resultados x Dimensión'!A8</f>
        <v>7. Experiencia Digital</v>
      </c>
      <c r="B14">
        <f>'3. Resultados x Dimensión'!C8</f>
        <v>3.4</v>
      </c>
      <c r="C14" s="25">
        <f>'3. Resultados x Dimensión'!D8</f>
        <v>4</v>
      </c>
      <c r="E14">
        <f>'3. Resultados x Dimensión'!E8</f>
        <v>0.60000000000000009</v>
      </c>
    </row>
  </sheetData>
  <mergeCells count="5">
    <mergeCell ref="F4:G4"/>
    <mergeCell ref="A1:G1"/>
    <mergeCell ref="I3:L3"/>
    <mergeCell ref="C4:E4"/>
    <mergeCell ref="F6:G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8" customWidth="1"/>
    <col min="2" max="2" width="30" customWidth="1"/>
    <col min="3" max="3" width="42" customWidth="1"/>
    <col min="4" max="5" width="14" customWidth="1"/>
    <col min="6" max="6" width="20" customWidth="1"/>
    <col min="7" max="7" width="12" customWidth="1"/>
    <col min="9" max="9" width="40" customWidth="1"/>
    <col min="10" max="10" width="28" customWidth="1"/>
    <col min="11" max="11" width="10" customWidth="1"/>
  </cols>
  <sheetData>
    <row r="1" spans="1:11" ht="27.95" customHeight="1">
      <c r="A1" s="8" t="s">
        <v>34</v>
      </c>
      <c r="B1" s="8" t="s">
        <v>35</v>
      </c>
      <c r="C1" s="8" t="s">
        <v>316</v>
      </c>
      <c r="D1" s="8" t="s">
        <v>321</v>
      </c>
      <c r="E1" s="8" t="s">
        <v>322</v>
      </c>
      <c r="F1" s="8" t="s">
        <v>323</v>
      </c>
      <c r="G1" s="8" t="s">
        <v>324</v>
      </c>
      <c r="I1" s="31" t="s">
        <v>325</v>
      </c>
      <c r="J1" s="28"/>
      <c r="K1" s="28"/>
    </row>
    <row r="2" spans="1:11" ht="29.1" customHeight="1">
      <c r="A2" s="9" t="str">
        <f>IF('2. Diagnóstico'!A2="","",'2. Diagnóstico'!A2)</f>
        <v>D01</v>
      </c>
      <c r="B2" s="9" t="str">
        <f>IF('2. Diagnóstico'!B2="","",'2. Diagnóstico'!B2)</f>
        <v>1. Estrategia y Gobierno de TI</v>
      </c>
      <c r="C2" s="9" t="str">
        <f>IF('2. Diagnóstico'!D2="","",'2. Diagnóstico'!D2)</f>
        <v>Qué tan explícitamente se deriva la estrategia tecnológica de la estrategia de negocio?</v>
      </c>
      <c r="D2" s="9" t="str">
        <f>IF('2. Diagnóstico'!K2="","",'2. Diagnóstico'!K2)</f>
        <v/>
      </c>
      <c r="E2" s="10"/>
      <c r="F2" s="9" t="str">
        <f t="shared" ref="F2:F37" si="0">IF(OR(D2="",E2=""),"",IF(AND(D2&gt;=3,E2&lt;=2),"Corto plazo",IF(AND(D2&gt;=3,E2&gt;2),"Mediano/Largo plazo",IF(D2&lt;=0,"Sin brecha","Baja prioridad"))))</f>
        <v/>
      </c>
      <c r="G2" s="9" t="str">
        <f>IF(D2="","",RANK(D2,$D$2:$D$37)+COUNTIF($D$2:D2,D2)-1)</f>
        <v/>
      </c>
      <c r="I2" s="22" t="s">
        <v>316</v>
      </c>
      <c r="J2" s="22" t="s">
        <v>35</v>
      </c>
      <c r="K2" s="22" t="s">
        <v>44</v>
      </c>
    </row>
    <row r="3" spans="1:11" ht="29.1" customHeight="1">
      <c r="A3" s="9" t="str">
        <f>IF('2. Diagnóstico'!A3="","",'2. Diagnóstico'!A3)</f>
        <v>D02</v>
      </c>
      <c r="B3" s="9" t="str">
        <f>IF('2. Diagnóstico'!B3="","",'2. Diagnóstico'!B3)</f>
        <v>1. Estrategia y Gobierno de TI</v>
      </c>
      <c r="C3" s="9" t="str">
        <f>IF('2. Diagnóstico'!D3="","",'2. Diagnóstico'!D3)</f>
        <v>Existe patrocinio activo de la alta dirección para iniciativas tecnologicas?</v>
      </c>
      <c r="D3" s="9">
        <f>IF('2. Diagnóstico'!K3="","",'2. Diagnóstico'!K3)</f>
        <v>0</v>
      </c>
      <c r="E3" s="10"/>
      <c r="F3" s="9" t="str">
        <f t="shared" si="0"/>
        <v/>
      </c>
      <c r="G3" s="9">
        <f>IF(D3="","",RANK(D3,$D$2:$D$37)+COUNTIF($D$2:D3,D3)-1)</f>
        <v>14</v>
      </c>
      <c r="I3" s="9" t="str">
        <f>IFERROR(INDEX($C$2:$C$37,MATCH(1,$G$2:$G$37,0)),"")</f>
        <v>Se miden tiempos de ciclo y cuellos de botella de los procesos?</v>
      </c>
      <c r="J3" s="9" t="str">
        <f>IFERROR(INDEX($B$2:$B$37,MATCH(1,$G$2:$G$37,0)),"")</f>
        <v>2. Procesos y Operación</v>
      </c>
      <c r="K3" s="9">
        <f>IFERROR(INDEX($D$2:$D$37,MATCH(1,$G$2:$G$37,0)),"")</f>
        <v>2</v>
      </c>
    </row>
    <row r="4" spans="1:11" ht="29.1" customHeight="1">
      <c r="A4" s="9" t="str">
        <f>IF('2. Diagnóstico'!A4="","",'2. Diagnóstico'!A4)</f>
        <v>D03</v>
      </c>
      <c r="B4" s="9" t="str">
        <f>IF('2. Diagnóstico'!B4="","",'2. Diagnóstico'!B4)</f>
        <v>1. Estrategia y Gobierno de TI</v>
      </c>
      <c r="C4" s="9" t="str">
        <f>IF('2. Diagnóstico'!D4="","",'2. Diagnóstico'!D4)</f>
        <v>Existe una instancia formal (comité) que decide inversión en tecnología?</v>
      </c>
      <c r="D4" s="9">
        <f>IF('2. Diagnóstico'!K4="","",'2. Diagnóstico'!K4)</f>
        <v>0</v>
      </c>
      <c r="E4" s="10"/>
      <c r="F4" s="9" t="str">
        <f t="shared" si="0"/>
        <v/>
      </c>
      <c r="G4" s="9">
        <f>IF(D4="","",RANK(D4,$D$2:$D$37)+COUNTIF($D$2:D4,D4)-1)</f>
        <v>15</v>
      </c>
      <c r="I4" s="9" t="str">
        <f>IFERROR(INDEX($C$2:$C$37,MATCH(2,$G$2:$G$37,0)),"")</f>
        <v>Se mide y gestiona la calidad de los datos (duplicados, completitud, exactitud)?</v>
      </c>
      <c r="J4" s="9" t="str">
        <f>IFERROR(INDEX($B$2:$B$37,MATCH(2,$G$2:$G$37,0)),"")</f>
        <v>3. Datos, Analítica e IA</v>
      </c>
      <c r="K4" s="9">
        <f>IFERROR(INDEX($D$2:$D$37,MATCH(2,$G$2:$G$37,0)),"")</f>
        <v>2</v>
      </c>
    </row>
    <row r="5" spans="1:11" ht="29.1" customHeight="1">
      <c r="A5" s="9" t="str">
        <f>IF('2. Diagnóstico'!A5="","",'2. Diagnóstico'!A5)</f>
        <v>D04</v>
      </c>
      <c r="B5" s="9" t="str">
        <f>IF('2. Diagnóstico'!B5="","",'2. Diagnóstico'!B5)</f>
        <v>1. Estrategia y Gobierno de TI</v>
      </c>
      <c r="C5" s="9" t="str">
        <f>IF('2. Diagnóstico'!D5="","",'2. Diagnóstico'!D5)</f>
        <v>Las inversiones en TI se priorizan con criterios de negocio documentados?</v>
      </c>
      <c r="D5" s="9">
        <f>IF('2. Diagnóstico'!K5="","",'2. Diagnóstico'!K5)</f>
        <v>0</v>
      </c>
      <c r="E5" s="10"/>
      <c r="F5" s="9" t="str">
        <f t="shared" si="0"/>
        <v/>
      </c>
      <c r="G5" s="9">
        <f>IF(D5="","",RANK(D5,$D$2:$D$37)+COUNTIF($D$2:D5,D5)-1)</f>
        <v>16</v>
      </c>
      <c r="I5" s="9" t="str">
        <f>IFERROR(INDEX($C$2:$C$37,MATCH(3,$G$2:$G$37,0)),"")</f>
        <v>Los procesos se ejecutan de manera estandarizada entre áreas, turnos o personas?</v>
      </c>
      <c r="J5" s="9" t="str">
        <f>IFERROR(INDEX($B$2:$B$37,MATCH(3,$G$2:$G$37,0)),"")</f>
        <v>2. Procesos y Operación</v>
      </c>
      <c r="K5" s="9">
        <f>IFERROR(INDEX($D$2:$D$37,MATCH(3,$G$2:$G$37,0)),"")</f>
        <v>1</v>
      </c>
    </row>
    <row r="6" spans="1:11" ht="29.1" customHeight="1">
      <c r="A6" s="9" t="str">
        <f>IF('2. Diagnóstico'!A6="","",'2. Diagnóstico'!A6)</f>
        <v>D05</v>
      </c>
      <c r="B6" s="9" t="str">
        <f>IF('2. Diagnóstico'!B6="","",'2. Diagnóstico'!B6)</f>
        <v>1. Estrategia y Gobierno de TI</v>
      </c>
      <c r="C6" s="9" t="str">
        <f>IF('2. Diagnóstico'!D6="","",'2. Diagnóstico'!D6)</f>
        <v>Se mide el retorno o beneficio de las iniciativas tecnologicas ya implementadas?</v>
      </c>
      <c r="D6" s="9">
        <f>IF('2. Diagnóstico'!K6="","",'2. Diagnóstico'!K6)</f>
        <v>0</v>
      </c>
      <c r="E6" s="10"/>
      <c r="F6" s="9" t="str">
        <f t="shared" si="0"/>
        <v/>
      </c>
      <c r="G6" s="9">
        <f>IF(D6="","",RANK(D6,$D$2:$D$37)+COUNTIF($D$2:D6,D6)-1)</f>
        <v>17</v>
      </c>
      <c r="I6" s="9" t="str">
        <f>IFERROR(INDEX($C$2:$C$37,MATCH(4,$G$2:$G$37,0)),"")</f>
        <v>Qué proporción de los procesos clave tiene algún grado de automatización (RPA, BPM, workflow)?</v>
      </c>
      <c r="J6" s="9" t="str">
        <f>IFERROR(INDEX($B$2:$B$37,MATCH(4,$G$2:$G$37,0)),"")</f>
        <v>2. Procesos y Operación</v>
      </c>
      <c r="K6" s="9">
        <f>IFERROR(INDEX($D$2:$D$37,MATCH(4,$G$2:$G$37,0)),"")</f>
        <v>1</v>
      </c>
    </row>
    <row r="7" spans="1:11" ht="29.1" customHeight="1">
      <c r="A7" s="9" t="str">
        <f>IF('2. Diagnóstico'!A7="","",'2. Diagnóstico'!A7)</f>
        <v>D06</v>
      </c>
      <c r="B7" s="9" t="str">
        <f>IF('2. Diagnóstico'!B7="","",'2. Diagnóstico'!B7)</f>
        <v>2. Procesos y Operación</v>
      </c>
      <c r="C7" s="9" t="str">
        <f>IF('2. Diagnóstico'!D7="","",'2. Diagnóstico'!D7)</f>
        <v>Los procesos clave están documentados o diagramados (BPMN u otro)?</v>
      </c>
      <c r="D7" s="9">
        <f>IF('2. Diagnóstico'!K7="","",'2. Diagnóstico'!K7)</f>
        <v>0</v>
      </c>
      <c r="E7" s="10"/>
      <c r="F7" s="9" t="str">
        <f t="shared" si="0"/>
        <v/>
      </c>
      <c r="G7" s="9">
        <f>IF(D7="","",RANK(D7,$D$2:$D$37)+COUNTIF($D$2:D7,D7)-1)</f>
        <v>18</v>
      </c>
      <c r="I7" s="9" t="str">
        <f>IFERROR(INDEX($C$2:$C$37,MATCH(5,$G$2:$G$37,0)),"")</f>
        <v>Existe un mecanismo formal de mejora continua de procesos?</v>
      </c>
      <c r="J7" s="9" t="str">
        <f>IFERROR(INDEX($B$2:$B$37,MATCH(5,$G$2:$G$37,0)),"")</f>
        <v>2. Procesos y Operación</v>
      </c>
      <c r="K7" s="9">
        <f>IFERROR(INDEX($D$2:$D$37,MATCH(5,$G$2:$G$37,0)),"")</f>
        <v>1</v>
      </c>
    </row>
    <row r="8" spans="1:11" ht="29.1" customHeight="1">
      <c r="A8" s="9" t="str">
        <f>IF('2. Diagnóstico'!A8="","",'2. Diagnóstico'!A8)</f>
        <v>D07</v>
      </c>
      <c r="B8" s="9" t="str">
        <f>IF('2. Diagnóstico'!B8="","",'2. Diagnóstico'!B8)</f>
        <v>2. Procesos y Operación</v>
      </c>
      <c r="C8" s="9" t="str">
        <f>IF('2. Diagnóstico'!D8="","",'2. Diagnóstico'!D8)</f>
        <v>Los procesos se ejecutan de manera estandarizada entre áreas, turnos o personas?</v>
      </c>
      <c r="D8" s="9">
        <f>IF('2. Diagnóstico'!K8="","",'2. Diagnóstico'!K8)</f>
        <v>1</v>
      </c>
      <c r="E8" s="10"/>
      <c r="F8" s="9" t="str">
        <f t="shared" si="0"/>
        <v/>
      </c>
      <c r="G8" s="9">
        <f>IF(D8="","",RANK(D8,$D$2:$D$37)+COUNTIF($D$2:D8,D8)-1)</f>
        <v>3</v>
      </c>
      <c r="I8" s="9" t="str">
        <f>IFERROR(INDEX($C$2:$C$37,MATCH(6,$G$2:$G$37,0)),"")</f>
        <v>Existen lineamientos de uso responsable de IA y datos?</v>
      </c>
      <c r="J8" s="9" t="str">
        <f>IFERROR(INDEX($B$2:$B$37,MATCH(6,$G$2:$G$37,0)),"")</f>
        <v>3. Datos, Analítica e IA</v>
      </c>
      <c r="K8" s="9">
        <f>IFERROR(INDEX($D$2:$D$37,MATCH(6,$G$2:$G$37,0)),"")</f>
        <v>1</v>
      </c>
    </row>
    <row r="9" spans="1:11" ht="43.5" customHeight="1">
      <c r="A9" s="9" t="str">
        <f>IF('2. Diagnóstico'!A9="","",'2. Diagnóstico'!A9)</f>
        <v>D08</v>
      </c>
      <c r="B9" s="9" t="str">
        <f>IF('2. Diagnóstico'!B9="","",'2. Diagnóstico'!B9)</f>
        <v>2. Procesos y Operación</v>
      </c>
      <c r="C9" s="9" t="str">
        <f>IF('2. Diagnóstico'!D9="","",'2. Diagnóstico'!D9)</f>
        <v>Qué proporción de los procesos clave tiene algún grado de automatización (RPA, BPM, workflow)?</v>
      </c>
      <c r="D9" s="9">
        <f>IF('2. Diagnóstico'!K9="","",'2. Diagnóstico'!K9)</f>
        <v>1</v>
      </c>
      <c r="E9" s="10"/>
      <c r="F9" s="9" t="str">
        <f t="shared" si="0"/>
        <v/>
      </c>
      <c r="G9" s="9">
        <f>IF(D9="","",RANK(D9,$D$2:$D$37)+COUNTIF($D$2:D9,D9)-1)</f>
        <v>4</v>
      </c>
      <c r="I9" s="9" t="str">
        <f>IFERROR(INDEX($C$2:$C$37,MATCH(7,$G$2:$G$37,0)),"")</f>
        <v>Existen políticas de control de acceso e identidad (MFA, roles)?</v>
      </c>
      <c r="J9" s="9" t="str">
        <f>IFERROR(INDEX($B$2:$B$37,MATCH(7,$G$2:$G$37,0)),"")</f>
        <v>5. Ciberseguridad y Riesgo</v>
      </c>
      <c r="K9" s="9">
        <f>IFERROR(INDEX($D$2:$D$37,MATCH(7,$G$2:$G$37,0)),"")</f>
        <v>1</v>
      </c>
    </row>
    <row r="10" spans="1:11" ht="29.1" customHeight="1">
      <c r="A10" s="9" t="str">
        <f>IF('2. Diagnóstico'!A10="","",'2. Diagnóstico'!A10)</f>
        <v>D09</v>
      </c>
      <c r="B10" s="9" t="str">
        <f>IF('2. Diagnóstico'!B10="","",'2. Diagnóstico'!B10)</f>
        <v>2. Procesos y Operación</v>
      </c>
      <c r="C10" s="9" t="str">
        <f>IF('2. Diagnóstico'!D10="","",'2. Diagnóstico'!D10)</f>
        <v>Se miden tiempos de ciclo y cuellos de botella de los procesos?</v>
      </c>
      <c r="D10" s="9">
        <f>IF('2. Diagnóstico'!K10="","",'2. Diagnóstico'!K10)</f>
        <v>2</v>
      </c>
      <c r="E10" s="10"/>
      <c r="F10" s="9" t="str">
        <f t="shared" si="0"/>
        <v/>
      </c>
      <c r="G10" s="9">
        <f>IF(D10="","",RANK(D10,$D$2:$D$37)+COUNTIF($D$2:D10,D10)-1)</f>
        <v>1</v>
      </c>
      <c r="I10" s="9" t="str">
        <f>IFERROR(INDEX($C$2:$C$37,MATCH(8,$G$2:$G$37,0)),"")</f>
        <v>Existen líderes de cambio o agentes de transformación identificados?</v>
      </c>
      <c r="J10" s="9" t="str">
        <f>IFERROR(INDEX($B$2:$B$37,MATCH(8,$G$2:$G$37,0)),"")</f>
        <v>6. Cultura, Talento y Gestión del Cambio</v>
      </c>
      <c r="K10" s="9">
        <f>IFERROR(INDEX($D$2:$D$37,MATCH(8,$G$2:$G$37,0)),"")</f>
        <v>1</v>
      </c>
    </row>
    <row r="11" spans="1:11" ht="29.1" customHeight="1">
      <c r="A11" s="9" t="str">
        <f>IF('2. Diagnóstico'!A11="","",'2. Diagnóstico'!A11)</f>
        <v>D10</v>
      </c>
      <c r="B11" s="9" t="str">
        <f>IF('2. Diagnóstico'!B11="","",'2. Diagnóstico'!B11)</f>
        <v>2. Procesos y Operación</v>
      </c>
      <c r="C11" s="9" t="str">
        <f>IF('2. Diagnóstico'!D11="","",'2. Diagnóstico'!D11)</f>
        <v>Existe un mecanismo formal de mejora continua de procesos?</v>
      </c>
      <c r="D11" s="9">
        <f>IF('2. Diagnóstico'!K11="","",'2. Diagnóstico'!K11)</f>
        <v>1</v>
      </c>
      <c r="E11" s="10"/>
      <c r="F11" s="9" t="str">
        <f t="shared" si="0"/>
        <v/>
      </c>
      <c r="G11" s="9">
        <f>IF(D11="","",RANK(D11,$D$2:$D$37)+COUNTIF($D$2:D11,D11)-1)</f>
        <v>5</v>
      </c>
      <c r="I11" s="9" t="str">
        <f>IFERROR(INDEX($C$2:$C$37,MATCH(9,$G$2:$G$37,0)),"")</f>
        <v>Se permiten pilotos o experimentos controlados con nuevas tecnologias?</v>
      </c>
      <c r="J11" s="9" t="str">
        <f>IFERROR(INDEX($B$2:$B$37,MATCH(9,$G$2:$G$37,0)),"")</f>
        <v>6. Cultura, Talento y Gestión del Cambio</v>
      </c>
      <c r="K11" s="9">
        <f>IFERROR(INDEX($D$2:$D$37,MATCH(9,$G$2:$G$37,0)),"")</f>
        <v>1</v>
      </c>
    </row>
    <row r="12" spans="1:11" ht="29.1" customHeight="1">
      <c r="A12" s="9" t="str">
        <f>IF('2. Diagnóstico'!A12="","",'2. Diagnóstico'!A12)</f>
        <v>D11</v>
      </c>
      <c r="B12" s="9" t="str">
        <f>IF('2. Diagnóstico'!B12="","",'2. Diagnóstico'!B12)</f>
        <v>3. Datos, Analítica e IA</v>
      </c>
      <c r="C12" s="9" t="str">
        <f>IF('2. Diagnóstico'!D12="","",'2. Diagnóstico'!D12)</f>
        <v>Existe responsable o politica de datos en la organización?</v>
      </c>
      <c r="D12" s="9">
        <f>IF('2. Diagnóstico'!K12="","",'2. Diagnóstico'!K12)</f>
        <v>0</v>
      </c>
      <c r="E12" s="10"/>
      <c r="F12" s="9" t="str">
        <f t="shared" si="0"/>
        <v/>
      </c>
      <c r="G12" s="9">
        <f>IF(D12="","",RANK(D12,$D$2:$D$37)+COUNTIF($D$2:D12,D12)-1)</f>
        <v>19</v>
      </c>
      <c r="I12" s="9" t="str">
        <f>IFERROR(INDEX($C$2:$C$37,MATCH(10,$G$2:$G$37,0)),"")</f>
        <v>Existe comunicación estructurada sobre las iniciativas de transformación?</v>
      </c>
      <c r="J12" s="9" t="str">
        <f>IFERROR(INDEX($B$2:$B$37,MATCH(10,$G$2:$G$37,0)),"")</f>
        <v>6. Cultura, Talento y Gestión del Cambio</v>
      </c>
      <c r="K12" s="9">
        <f>IFERROR(INDEX($D$2:$D$37,MATCH(10,$G$2:$G$37,0)),"")</f>
        <v>1</v>
      </c>
    </row>
    <row r="13" spans="1:11" ht="29.1" customHeight="1">
      <c r="A13" s="9" t="str">
        <f>IF('2. Diagnóstico'!A13="","",'2. Diagnóstico'!A13)</f>
        <v>D12</v>
      </c>
      <c r="B13" s="9" t="str">
        <f>IF('2. Diagnóstico'!B13="","",'2. Diagnóstico'!B13)</f>
        <v>3. Datos, Analítica e IA</v>
      </c>
      <c r="C13" s="9" t="str">
        <f>IF('2. Diagnóstico'!D13="","",'2. Diagnóstico'!D13)</f>
        <v>Se mide y gestiona la calidad de los datos (duplicados, completitud, exactitud)?</v>
      </c>
      <c r="D13" s="9">
        <f>IF('2. Diagnóstico'!K13="","",'2. Diagnóstico'!K13)</f>
        <v>2</v>
      </c>
      <c r="E13" s="10"/>
      <c r="F13" s="9" t="str">
        <f t="shared" si="0"/>
        <v/>
      </c>
      <c r="G13" s="9">
        <f>IF(D13="","",RANK(D13,$D$2:$D$37)+COUNTIF($D$2:D13,D13)-1)</f>
        <v>2</v>
      </c>
    </row>
    <row r="14" spans="1:11" ht="29.1" customHeight="1">
      <c r="A14" s="9" t="str">
        <f>IF('2. Diagnóstico'!A14="","",'2. Diagnóstico'!A14)</f>
        <v>D13</v>
      </c>
      <c r="B14" s="9" t="str">
        <f>IF('2. Diagnóstico'!B14="","",'2. Diagnóstico'!B14)</f>
        <v>3. Datos, Analítica e IA</v>
      </c>
      <c r="C14" s="9" t="str">
        <f>IF('2. Diagnóstico'!D14="","",'2. Diagnóstico'!D14)</f>
        <v>Las decisiones de negocio se apoyan en reportes o dashboards de datos?</v>
      </c>
      <c r="D14" s="9">
        <f>IF('2. Diagnóstico'!K14="","",'2. Diagnóstico'!K14)</f>
        <v>-1</v>
      </c>
      <c r="E14" s="10"/>
      <c r="F14" s="9" t="str">
        <f t="shared" si="0"/>
        <v/>
      </c>
      <c r="G14" s="9">
        <f>IF(D14="","",RANK(D14,$D$2:$D$37)+COUNTIF($D$2:D14,D14)-1)</f>
        <v>33</v>
      </c>
    </row>
    <row r="15" spans="1:11" ht="29.1" customHeight="1">
      <c r="A15" s="9" t="str">
        <f>IF('2. Diagnóstico'!A15="","",'2. Diagnóstico'!A15)</f>
        <v>D14</v>
      </c>
      <c r="B15" s="9" t="str">
        <f>IF('2. Diagnóstico'!B15="","",'2. Diagnóstico'!B15)</f>
        <v>3. Datos, Analítica e IA</v>
      </c>
      <c r="C15" s="9" t="str">
        <f>IF('2. Diagnóstico'!D15="","",'2. Diagnóstico'!D15)</f>
        <v>Existe un repositorio centralizado de datos (DW o lake) frente a datos dispersos en Excel?</v>
      </c>
      <c r="D15" s="9">
        <f>IF('2. Diagnóstico'!K15="","",'2. Diagnóstico'!K15)</f>
        <v>-1</v>
      </c>
      <c r="E15" s="10"/>
      <c r="F15" s="9" t="str">
        <f t="shared" si="0"/>
        <v/>
      </c>
      <c r="G15" s="9">
        <f>IF(D15="","",RANK(D15,$D$2:$D$37)+COUNTIF($D$2:D15,D15)-1)</f>
        <v>34</v>
      </c>
    </row>
    <row r="16" spans="1:11" ht="29.1" customHeight="1">
      <c r="A16" s="9" t="str">
        <f>IF('2. Diagnóstico'!A16="","",'2. Diagnóstico'!A16)</f>
        <v>D15</v>
      </c>
      <c r="B16" s="9" t="str">
        <f>IF('2. Diagnóstico'!B16="","",'2. Diagnóstico'!B16)</f>
        <v>3. Datos, Analítica e IA</v>
      </c>
      <c r="C16" s="9" t="str">
        <f>IF('2. Diagnóstico'!D16="","",'2. Diagnóstico'!D16)</f>
        <v>La organización usa modelos o IA (incluida IA generativa) en algún proceso?</v>
      </c>
      <c r="D16" s="9">
        <f>IF('2. Diagnóstico'!K16="","",'2. Diagnóstico'!K16)</f>
        <v>0</v>
      </c>
      <c r="E16" s="10"/>
      <c r="F16" s="9" t="str">
        <f t="shared" si="0"/>
        <v/>
      </c>
      <c r="G16" s="9">
        <f>IF(D16="","",RANK(D16,$D$2:$D$37)+COUNTIF($D$2:D16,D16)-1)</f>
        <v>20</v>
      </c>
    </row>
    <row r="17" spans="1:7" ht="29.1" customHeight="1">
      <c r="A17" s="9" t="str">
        <f>IF('2. Diagnóstico'!A17="","",'2. Diagnóstico'!A17)</f>
        <v>D16</v>
      </c>
      <c r="B17" s="9" t="str">
        <f>IF('2. Diagnóstico'!B17="","",'2. Diagnóstico'!B17)</f>
        <v>3. Datos, Analítica e IA</v>
      </c>
      <c r="C17" s="9" t="str">
        <f>IF('2. Diagnóstico'!D17="","",'2. Diagnóstico'!D17)</f>
        <v>Existen lineamientos de uso responsable de IA y datos?</v>
      </c>
      <c r="D17" s="9">
        <f>IF('2. Diagnóstico'!K17="","",'2. Diagnóstico'!K17)</f>
        <v>1</v>
      </c>
      <c r="E17" s="10"/>
      <c r="F17" s="9" t="str">
        <f t="shared" si="0"/>
        <v/>
      </c>
      <c r="G17" s="9">
        <f>IF(D17="","",RANK(D17,$D$2:$D$37)+COUNTIF($D$2:D17,D17)-1)</f>
        <v>6</v>
      </c>
    </row>
    <row r="18" spans="1:7" ht="29.1" customHeight="1">
      <c r="A18" s="9" t="str">
        <f>IF('2. Diagnóstico'!A18="","",'2. Diagnóstico'!A18)</f>
        <v>D17</v>
      </c>
      <c r="B18" s="9" t="str">
        <f>IF('2. Diagnóstico'!B18="","",'2. Diagnóstico'!B18)</f>
        <v>4. Arquitectura e Integración</v>
      </c>
      <c r="C18" s="9" t="str">
        <f>IF('2. Diagnóstico'!D18="","",'2. Diagnóstico'!D18)</f>
        <v>Existe un inventario actualizado de sistemas y aplicaciones?</v>
      </c>
      <c r="D18" s="9">
        <f>IF('2. Diagnóstico'!K18="","",'2. Diagnóstico'!K18)</f>
        <v>-1</v>
      </c>
      <c r="E18" s="10"/>
      <c r="F18" s="9" t="str">
        <f t="shared" si="0"/>
        <v/>
      </c>
      <c r="G18" s="9">
        <f>IF(D18="","",RANK(D18,$D$2:$D$37)+COUNTIF($D$2:D18,D18)-1)</f>
        <v>35</v>
      </c>
    </row>
    <row r="19" spans="1:7" ht="29.1" customHeight="1">
      <c r="A19" s="9" t="str">
        <f>IF('2. Diagnóstico'!A19="","",'2. Diagnóstico'!A19)</f>
        <v>D18</v>
      </c>
      <c r="B19" s="9" t="str">
        <f>IF('2. Diagnóstico'!B19="","",'2. Diagnóstico'!B19)</f>
        <v>4. Arquitectura e Integración</v>
      </c>
      <c r="C19" s="9" t="str">
        <f>IF('2. Diagnóstico'!D19="","",'2. Diagnóstico'!D19)</f>
        <v>Qué tan actualizadas y soportadas están las aplicaciones críticas?</v>
      </c>
      <c r="D19" s="9">
        <f>IF('2. Diagnóstico'!K19="","",'2. Diagnóstico'!K19)</f>
        <v>0</v>
      </c>
      <c r="E19" s="10"/>
      <c r="F19" s="9" t="str">
        <f t="shared" si="0"/>
        <v/>
      </c>
      <c r="G19" s="9">
        <f>IF(D19="","",RANK(D19,$D$2:$D$37)+COUNTIF($D$2:D19,D19)-1)</f>
        <v>21</v>
      </c>
    </row>
    <row r="20" spans="1:7" ht="29.1" customHeight="1">
      <c r="A20" s="9" t="str">
        <f>IF('2. Diagnóstico'!A20="","",'2. Diagnóstico'!A20)</f>
        <v>D19</v>
      </c>
      <c r="B20" s="9" t="str">
        <f>IF('2. Diagnóstico'!B20="","",'2. Diagnóstico'!B20)</f>
        <v>4. Arquitectura e Integración</v>
      </c>
      <c r="C20" s="9" t="str">
        <f>IF('2. Diagnóstico'!D20="","",'2. Diagnóstico'!D20)</f>
        <v>Qué proporción de la infraestructura está en la nube frente a on-premise?</v>
      </c>
      <c r="D20" s="9">
        <f>IF('2. Diagnóstico'!K20="","",'2. Diagnóstico'!K20)</f>
        <v>0</v>
      </c>
      <c r="E20" s="10"/>
      <c r="F20" s="9" t="str">
        <f t="shared" si="0"/>
        <v/>
      </c>
      <c r="G20" s="9">
        <f>IF(D20="","",RANK(D20,$D$2:$D$37)+COUNTIF($D$2:D20,D20)-1)</f>
        <v>22</v>
      </c>
    </row>
    <row r="21" spans="1:7" ht="29.1" customHeight="1">
      <c r="A21" s="9" t="str">
        <f>IF('2. Diagnóstico'!A21="","",'2. Diagnóstico'!A21)</f>
        <v>D20</v>
      </c>
      <c r="B21" s="9" t="str">
        <f>IF('2. Diagnóstico'!B21="","",'2. Diagnóstico'!B21)</f>
        <v>4. Arquitectura e Integración</v>
      </c>
      <c r="C21" s="9" t="str">
        <f>IF('2. Diagnóstico'!D21="","",'2. Diagnóstico'!D21)</f>
        <v>Los sistemas se integran vía APIs/ESB o mediante cargas manuales de archivos?</v>
      </c>
      <c r="D21" s="9">
        <f>IF('2. Diagnóstico'!K21="","",'2. Diagnóstico'!K21)</f>
        <v>0</v>
      </c>
      <c r="E21" s="10"/>
      <c r="F21" s="9" t="str">
        <f t="shared" si="0"/>
        <v/>
      </c>
      <c r="G21" s="9">
        <f>IF(D21="","",RANK(D21,$D$2:$D$37)+COUNTIF($D$2:D21,D21)-1)</f>
        <v>23</v>
      </c>
    </row>
    <row r="22" spans="1:7" ht="29.1" customHeight="1">
      <c r="A22" s="9" t="str">
        <f>IF('2. Diagnóstico'!A22="","",'2. Diagnóstico'!A22)</f>
        <v>D21</v>
      </c>
      <c r="B22" s="9" t="str">
        <f>IF('2. Diagnóstico'!B22="","",'2. Diagnóstico'!B22)</f>
        <v>4. Arquitectura e Integración</v>
      </c>
      <c r="C22" s="9" t="str">
        <f>IF('2. Diagnóstico'!D22="","",'2. Diagnóstico'!D22)</f>
        <v>La arquitectura soporta crecimiento en volumen o usuarios sin rediseño mayor?</v>
      </c>
      <c r="D22" s="9">
        <f>IF('2. Diagnóstico'!K22="","",'2. Diagnóstico'!K22)</f>
        <v>0</v>
      </c>
      <c r="E22" s="10"/>
      <c r="F22" s="9" t="str">
        <f t="shared" si="0"/>
        <v/>
      </c>
      <c r="G22" s="9">
        <f>IF(D22="","",RANK(D22,$D$2:$D$37)+COUNTIF($D$2:D22,D22)-1)</f>
        <v>24</v>
      </c>
    </row>
    <row r="23" spans="1:7" ht="29.1" customHeight="1">
      <c r="A23" s="9" t="str">
        <f>IF('2. Diagnóstico'!A23="","",'2. Diagnóstico'!A23)</f>
        <v>D22</v>
      </c>
      <c r="B23" s="9" t="str">
        <f>IF('2. Diagnóstico'!B23="","",'2. Diagnóstico'!B23)</f>
        <v>5. Ciberseguridad y Riesgo</v>
      </c>
      <c r="C23" s="9" t="str">
        <f>IF('2. Diagnóstico'!D23="","",'2. Diagnóstico'!D23)</f>
        <v>Existen políticas de control de acceso e identidad (MFA, roles)?</v>
      </c>
      <c r="D23" s="9">
        <f>IF('2. Diagnóstico'!K23="","",'2. Diagnóstico'!K23)</f>
        <v>1</v>
      </c>
      <c r="E23" s="10"/>
      <c r="F23" s="9" t="str">
        <f t="shared" si="0"/>
        <v/>
      </c>
      <c r="G23" s="9">
        <f>IF(D23="","",RANK(D23,$D$2:$D$37)+COUNTIF($D$2:D23,D23)-1)</f>
        <v>7</v>
      </c>
    </row>
    <row r="24" spans="1:7" ht="29.1" customHeight="1">
      <c r="A24" s="9" t="str">
        <f>IF('2. Diagnóstico'!A24="","",'2. Diagnóstico'!A24)</f>
        <v>D23</v>
      </c>
      <c r="B24" s="9" t="str">
        <f>IF('2. Diagnóstico'!B24="","",'2. Diagnóstico'!B24)</f>
        <v>5. Ciberseguridad y Riesgo</v>
      </c>
      <c r="C24" s="9" t="str">
        <f>IF('2. Diagnóstico'!D24="","",'2. Diagnóstico'!D24)</f>
        <v>Los datos sensibles están cifrados o protegidos adecuadamente?</v>
      </c>
      <c r="D24" s="9">
        <f>IF('2. Diagnóstico'!K24="","",'2. Diagnóstico'!K24)</f>
        <v>0</v>
      </c>
      <c r="E24" s="10"/>
      <c r="F24" s="9" t="str">
        <f t="shared" si="0"/>
        <v/>
      </c>
      <c r="G24" s="9">
        <f>IF(D24="","",RANK(D24,$D$2:$D$37)+COUNTIF($D$2:D24,D24)-1)</f>
        <v>25</v>
      </c>
    </row>
    <row r="25" spans="1:7" ht="29.1" customHeight="1">
      <c r="A25" s="9" t="str">
        <f>IF('2. Diagnóstico'!A25="","",'2. Diagnóstico'!A25)</f>
        <v>D24</v>
      </c>
      <c r="B25" s="9" t="str">
        <f>IF('2. Diagnóstico'!B25="","",'2. Diagnóstico'!B25)</f>
        <v>5. Ciberseguridad y Riesgo</v>
      </c>
      <c r="C25" s="9" t="str">
        <f>IF('2. Diagnóstico'!D25="","",'2. Diagnóstico'!D25)</f>
        <v>Existe monitoreo o capacidad de detectar incidentes de seguridad?</v>
      </c>
      <c r="D25" s="9">
        <f>IF('2. Diagnóstico'!K25="","",'2. Diagnóstico'!K25)</f>
        <v>0</v>
      </c>
      <c r="E25" s="10"/>
      <c r="F25" s="9" t="str">
        <f t="shared" si="0"/>
        <v/>
      </c>
      <c r="G25" s="9">
        <f>IF(D25="","",RANK(D25,$D$2:$D$37)+COUNTIF($D$2:D25,D25)-1)</f>
        <v>26</v>
      </c>
    </row>
    <row r="26" spans="1:7" ht="29.1" customHeight="1">
      <c r="A26" s="9" t="str">
        <f>IF('2. Diagnóstico'!A26="","",'2. Diagnóstico'!A26)</f>
        <v>D25</v>
      </c>
      <c r="B26" s="9" t="str">
        <f>IF('2. Diagnóstico'!B26="","",'2. Diagnóstico'!B26)</f>
        <v>5. Ciberseguridad y Riesgo</v>
      </c>
      <c r="C26" s="9" t="str">
        <f>IF('2. Diagnóstico'!D26="","",'2. Diagnóstico'!D26)</f>
        <v>Existen copias de respaldo y un plan de continuidad probado?</v>
      </c>
      <c r="D26" s="9">
        <f>IF('2. Diagnóstico'!K26="","",'2. Diagnóstico'!K26)</f>
        <v>0</v>
      </c>
      <c r="E26" s="10"/>
      <c r="F26" s="9" t="str">
        <f t="shared" si="0"/>
        <v/>
      </c>
      <c r="G26" s="9">
        <f>IF(D26="","",RANK(D26,$D$2:$D$37)+COUNTIF($D$2:D26,D26)-1)</f>
        <v>27</v>
      </c>
    </row>
    <row r="27" spans="1:7" ht="29.1" customHeight="1">
      <c r="A27" s="9" t="str">
        <f>IF('2. Diagnóstico'!A27="","",'2. Diagnóstico'!A27)</f>
        <v>D26</v>
      </c>
      <c r="B27" s="9" t="str">
        <f>IF('2. Diagnóstico'!B27="","",'2. Diagnóstico'!B27)</f>
        <v>5. Ciberseguridad y Riesgo</v>
      </c>
      <c r="C27" s="9" t="str">
        <f>IF('2. Diagnóstico'!D27="","",'2. Diagnóstico'!D27)</f>
        <v>Se cumplen las normas aplicables (habeas data, sectoriales, etc.)?</v>
      </c>
      <c r="D27" s="9">
        <f>IF('2. Diagnóstico'!K27="","",'2. Diagnóstico'!K27)</f>
        <v>0</v>
      </c>
      <c r="E27" s="10"/>
      <c r="F27" s="9" t="str">
        <f t="shared" si="0"/>
        <v/>
      </c>
      <c r="G27" s="9">
        <f>IF(D27="","",RANK(D27,$D$2:$D$37)+COUNTIF($D$2:D27,D27)-1)</f>
        <v>28</v>
      </c>
    </row>
    <row r="28" spans="1:7" ht="29.1" customHeight="1">
      <c r="A28" s="9" t="str">
        <f>IF('2. Diagnóstico'!A28="","",'2. Diagnóstico'!A28)</f>
        <v>D27</v>
      </c>
      <c r="B28" s="9" t="str">
        <f>IF('2. Diagnóstico'!B28="","",'2. Diagnóstico'!B28)</f>
        <v>6. Cultura, Talento y Gestión del Cambio</v>
      </c>
      <c r="C28" s="9" t="str">
        <f>IF('2. Diagnóstico'!D28="","",'2. Diagnóstico'!D28)</f>
        <v>El personal tiene formación en herramientas y tecnologias digitales?</v>
      </c>
      <c r="D28" s="9">
        <f>IF('2. Diagnóstico'!K28="","",'2. Diagnóstico'!K28)</f>
        <v>0</v>
      </c>
      <c r="E28" s="10"/>
      <c r="F28" s="9" t="str">
        <f t="shared" si="0"/>
        <v/>
      </c>
      <c r="G28" s="9">
        <f>IF(D28="","",RANK(D28,$D$2:$D$37)+COUNTIF($D$2:D28,D28)-1)</f>
        <v>29</v>
      </c>
    </row>
    <row r="29" spans="1:7" ht="29.1" customHeight="1">
      <c r="A29" s="9" t="str">
        <f>IF('2. Diagnóstico'!A29="","",'2. Diagnóstico'!A29)</f>
        <v>D28</v>
      </c>
      <c r="B29" s="9" t="str">
        <f>IF('2. Diagnóstico'!B29="","",'2. Diagnóstico'!B29)</f>
        <v>6. Cultura, Talento y Gestión del Cambio</v>
      </c>
      <c r="C29" s="9" t="str">
        <f>IF('2. Diagnóstico'!D29="","",'2. Diagnóstico'!D29)</f>
        <v>Existen líderes de cambio o agentes de transformación identificados?</v>
      </c>
      <c r="D29" s="9">
        <f>IF('2. Diagnóstico'!K29="","",'2. Diagnóstico'!K29)</f>
        <v>1</v>
      </c>
      <c r="E29" s="10"/>
      <c r="F29" s="9" t="str">
        <f t="shared" si="0"/>
        <v/>
      </c>
      <c r="G29" s="9">
        <f>IF(D29="","",RANK(D29,$D$2:$D$37)+COUNTIF($D$2:D29,D29)-1)</f>
        <v>8</v>
      </c>
    </row>
    <row r="30" spans="1:7" ht="29.1" customHeight="1">
      <c r="A30" s="9" t="str">
        <f>IF('2. Diagnóstico'!A30="","",'2. Diagnóstico'!A30)</f>
        <v>D29</v>
      </c>
      <c r="B30" s="9" t="str">
        <f>IF('2. Diagnóstico'!B30="","",'2. Diagnóstico'!B30)</f>
        <v>6. Cultura, Talento y Gestión del Cambio</v>
      </c>
      <c r="C30" s="9" t="str">
        <f>IF('2. Diagnóstico'!D30="","",'2. Diagnóstico'!D30)</f>
        <v>Las nuevas herramientas se adoptan efectivamente (uso real) tras implementarse?</v>
      </c>
      <c r="D30" s="9">
        <f>IF('2. Diagnóstico'!K30="","",'2. Diagnóstico'!K30)</f>
        <v>0</v>
      </c>
      <c r="E30" s="10"/>
      <c r="F30" s="9" t="str">
        <f t="shared" si="0"/>
        <v/>
      </c>
      <c r="G30" s="9">
        <f>IF(D30="","",RANK(D30,$D$2:$D$37)+COUNTIF($D$2:D30,D30)-1)</f>
        <v>30</v>
      </c>
    </row>
    <row r="31" spans="1:7" ht="29.1" customHeight="1">
      <c r="A31" s="9" t="str">
        <f>IF('2. Diagnóstico'!A31="","",'2. Diagnóstico'!A31)</f>
        <v>D30</v>
      </c>
      <c r="B31" s="9" t="str">
        <f>IF('2. Diagnóstico'!B31="","",'2. Diagnóstico'!B31)</f>
        <v>6. Cultura, Talento y Gestión del Cambio</v>
      </c>
      <c r="C31" s="9" t="str">
        <f>IF('2. Diagnóstico'!D31="","",'2. Diagnóstico'!D31)</f>
        <v>Se permiten pilotos o experimentos controlados con nuevas tecnologias?</v>
      </c>
      <c r="D31" s="9">
        <f>IF('2. Diagnóstico'!K31="","",'2. Diagnóstico'!K31)</f>
        <v>1</v>
      </c>
      <c r="E31" s="10"/>
      <c r="F31" s="9" t="str">
        <f t="shared" si="0"/>
        <v/>
      </c>
      <c r="G31" s="9">
        <f>IF(D31="","",RANK(D31,$D$2:$D$37)+COUNTIF($D$2:D31,D31)-1)</f>
        <v>9</v>
      </c>
    </row>
    <row r="32" spans="1:7" ht="29.1" customHeight="1">
      <c r="A32" s="9" t="str">
        <f>IF('2. Diagnóstico'!A32="","",'2. Diagnóstico'!A32)</f>
        <v>D31</v>
      </c>
      <c r="B32" s="9" t="str">
        <f>IF('2. Diagnóstico'!B32="","",'2. Diagnóstico'!B32)</f>
        <v>6. Cultura, Talento y Gestión del Cambio</v>
      </c>
      <c r="C32" s="9" t="str">
        <f>IF('2. Diagnóstico'!D32="","",'2. Diagnóstico'!D32)</f>
        <v>Existe comunicación estructurada sobre las iniciativas de transformación?</v>
      </c>
      <c r="D32" s="9">
        <f>IF('2. Diagnóstico'!K32="","",'2. Diagnóstico'!K32)</f>
        <v>1</v>
      </c>
      <c r="E32" s="10"/>
      <c r="F32" s="9" t="str">
        <f t="shared" si="0"/>
        <v/>
      </c>
      <c r="G32" s="9">
        <f>IF(D32="","",RANK(D32,$D$2:$D$37)+COUNTIF($D$2:D32,D32)-1)</f>
        <v>10</v>
      </c>
    </row>
    <row r="33" spans="1:7" ht="29.1" customHeight="1">
      <c r="A33" s="9" t="str">
        <f>IF('2. Diagnóstico'!A33="","",'2. Diagnóstico'!A33)</f>
        <v>D32</v>
      </c>
      <c r="B33" s="9" t="str">
        <f>IF('2. Diagnóstico'!B33="","",'2. Diagnóstico'!B33)</f>
        <v>7. Experiencia Digital</v>
      </c>
      <c r="C33" s="9" t="str">
        <f>IF('2. Diagnóstico'!D33="","",'2. Diagnóstico'!D33)</f>
        <v>La empresa ofrece canales digitales de atención o venta (web, app, chat)?</v>
      </c>
      <c r="D33" s="9">
        <f>IF('2. Diagnóstico'!K33="","",'2. Diagnóstico'!K33)</f>
        <v>0</v>
      </c>
      <c r="E33" s="10"/>
      <c r="F33" s="9" t="str">
        <f t="shared" si="0"/>
        <v/>
      </c>
      <c r="G33" s="9">
        <f>IF(D33="","",RANK(D33,$D$2:$D$37)+COUNTIF($D$2:D33,D33)-1)</f>
        <v>31</v>
      </c>
    </row>
    <row r="34" spans="1:7" ht="29.1" customHeight="1">
      <c r="A34" s="9" t="str">
        <f>IF('2. Diagnóstico'!A34="","",'2. Diagnóstico'!A34)</f>
        <v>D33</v>
      </c>
      <c r="B34" s="9" t="str">
        <f>IF('2. Diagnóstico'!B34="","",'2. Diagnóstico'!B34)</f>
        <v>7. Experiencia Digital</v>
      </c>
      <c r="C34" s="9" t="str">
        <f>IF('2. Diagnóstico'!D34="","",'2. Diagnóstico'!D34)</f>
        <v>Existe una vista unificada del cliente (CRM u homologo)?</v>
      </c>
      <c r="D34" s="9">
        <f>IF('2. Diagnóstico'!K34="","",'2. Diagnóstico'!K34)</f>
        <v>1</v>
      </c>
      <c r="E34" s="10"/>
      <c r="F34" s="9" t="str">
        <f t="shared" si="0"/>
        <v/>
      </c>
      <c r="G34" s="9">
        <f>IF(D34="","",RANK(D34,$D$2:$D$37)+COUNTIF($D$2:D34,D34)-1)</f>
        <v>11</v>
      </c>
    </row>
    <row r="35" spans="1:7" ht="29.1" customHeight="1">
      <c r="A35" s="9" t="str">
        <f>IF('2. Diagnóstico'!A35="","",'2. Diagnóstico'!A35)</f>
        <v>D34</v>
      </c>
      <c r="B35" s="9" t="str">
        <f>IF('2. Diagnóstico'!B35="","",'2. Diagnóstico'!B35)</f>
        <v>7. Experiencia Digital</v>
      </c>
      <c r="C35" s="9" t="str">
        <f>IF('2. Diagnóstico'!D35="","",'2. Diagnóstico'!D35)</f>
        <v>Se personalizan productos, servicios o comunicaciones con base en datos del cliente?</v>
      </c>
      <c r="D35" s="9">
        <f>IF('2. Diagnóstico'!K35="","",'2. Diagnóstico'!K35)</f>
        <v>0</v>
      </c>
      <c r="E35" s="10"/>
      <c r="F35" s="9" t="str">
        <f t="shared" si="0"/>
        <v/>
      </c>
      <c r="G35" s="9">
        <f>IF(D35="","",RANK(D35,$D$2:$D$37)+COUNTIF($D$2:D35,D35)-1)</f>
        <v>32</v>
      </c>
    </row>
    <row r="36" spans="1:7" ht="29.1" customHeight="1">
      <c r="A36" s="9" t="str">
        <f>IF('2. Diagnóstico'!A36="","",'2. Diagnóstico'!A36)</f>
        <v>D35</v>
      </c>
      <c r="B36" s="9" t="str">
        <f>IF('2. Diagnóstico'!B36="","",'2. Diagnóstico'!B36)</f>
        <v>7. Experiencia Digital</v>
      </c>
      <c r="C36" s="9" t="str">
        <f>IF('2. Diagnóstico'!D36="","",'2. Diagnóstico'!D36)</f>
        <v>Se mide la satisfacción o experiencia digital del cliente (NPS, CSAT digital)?</v>
      </c>
      <c r="D36" s="9">
        <f>IF('2. Diagnóstico'!K36="","",'2. Diagnóstico'!K36)</f>
        <v>1</v>
      </c>
      <c r="E36" s="10"/>
      <c r="F36" s="9" t="str">
        <f t="shared" si="0"/>
        <v/>
      </c>
      <c r="G36" s="9">
        <f>IF(D36="","",RANK(D36,$D$2:$D$37)+COUNTIF($D$2:D36,D36)-1)</f>
        <v>12</v>
      </c>
    </row>
    <row r="37" spans="1:7" ht="29.1" customHeight="1">
      <c r="A37" s="9" t="str">
        <f>IF('2. Diagnóstico'!A37="","",'2. Diagnóstico'!A37)</f>
        <v>D36</v>
      </c>
      <c r="B37" s="9" t="str">
        <f>IF('2. Diagnóstico'!B37="","",'2. Diagnóstico'!B37)</f>
        <v>7. Experiencia Digital</v>
      </c>
      <c r="C37" s="9" t="str">
        <f>IF('2. Diagnóstico'!D37="","",'2. Diagnóstico'!D37)</f>
        <v>Los clientes pueden autogestionar solicitudes sin intervención humana?</v>
      </c>
      <c r="D37" s="9">
        <f>IF('2. Diagnóstico'!K37="","",'2. Diagnóstico'!K37)</f>
        <v>1</v>
      </c>
      <c r="E37" s="10"/>
      <c r="F37" s="9" t="str">
        <f t="shared" si="0"/>
        <v/>
      </c>
      <c r="G37" s="9">
        <f>IF(D37="","",RANK(D37,$D$2:$D$37)+COUNTIF($D$2:D37,D37)-1)</f>
        <v>13</v>
      </c>
    </row>
    <row r="39" spans="1:7">
      <c r="A39" s="35" t="s">
        <v>326</v>
      </c>
      <c r="B39" s="28"/>
      <c r="C39" s="28"/>
      <c r="D39" s="28"/>
      <c r="E39" s="28"/>
      <c r="F39" s="28"/>
      <c r="G39" s="28"/>
    </row>
  </sheetData>
  <mergeCells count="2">
    <mergeCell ref="A39:G39"/>
    <mergeCell ref="I1:K1"/>
  </mergeCells>
  <conditionalFormatting sqref="D2:D37">
    <cfRule type="colorScale" priority="2">
      <colorScale>
        <cfvo type="min"/>
        <cfvo type="max"/>
        <color rgb="FFFFFFFF"/>
        <color rgb="FFFF9999"/>
      </colorScale>
    </cfRule>
  </conditionalFormatting>
  <dataValidations count="1">
    <dataValidation type="list" allowBlank="1" sqref="E2:E37" xr:uid="{00000000-0002-0000-0500-000000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12" customWidth="1"/>
    <col min="2" max="2" width="30" customWidth="1"/>
    <col min="3" max="3" width="42" customWidth="1"/>
    <col min="4" max="5" width="20" customWidth="1"/>
    <col min="6" max="7" width="16" customWidth="1"/>
  </cols>
  <sheetData>
    <row r="1" spans="1:7">
      <c r="A1" s="8" t="s">
        <v>327</v>
      </c>
      <c r="B1" s="8" t="s">
        <v>35</v>
      </c>
      <c r="C1" s="8" t="s">
        <v>328</v>
      </c>
      <c r="D1" s="8" t="s">
        <v>323</v>
      </c>
      <c r="E1" s="8" t="s">
        <v>329</v>
      </c>
      <c r="F1" s="8" t="s">
        <v>330</v>
      </c>
      <c r="G1" s="8" t="s">
        <v>331</v>
      </c>
    </row>
    <row r="2" spans="1:7" ht="43.5">
      <c r="A2" s="10" t="s">
        <v>103</v>
      </c>
      <c r="B2" s="9" t="str">
        <f>IFERROR(INDEX('2. Diagnóstico'!$B$2:$B$37,MATCH(A2,'2. Diagnóstico'!$A$2:$A$37,0)),"")</f>
        <v>2. Procesos y Operación</v>
      </c>
      <c r="C2" s="10" t="s">
        <v>332</v>
      </c>
      <c r="D2" s="9" t="str">
        <f>IFERROR(INDEX('5. Brechas y Priorización'!$F$2:$F$37,MATCH(A2,'5. Brechas y Priorización'!$A$2:$A$37,0)),"")</f>
        <v/>
      </c>
      <c r="E2" s="10" t="s">
        <v>333</v>
      </c>
      <c r="F2" s="10" t="s">
        <v>334</v>
      </c>
      <c r="G2" s="10" t="s">
        <v>335</v>
      </c>
    </row>
    <row r="3" spans="1:7" ht="43.5">
      <c r="A3" s="10" t="s">
        <v>125</v>
      </c>
      <c r="B3" s="9" t="str">
        <f>IFERROR(INDEX('2. Diagnóstico'!$B$2:$B$37,MATCH(A3,'2. Diagnóstico'!$A$2:$A$37,0)),"")</f>
        <v>3. Datos, Analítica e IA</v>
      </c>
      <c r="C3" s="10" t="s">
        <v>336</v>
      </c>
      <c r="D3" s="9" t="str">
        <f>IFERROR(INDEX('5. Brechas y Priorización'!$F$2:$F$37,MATCH(A3,'5. Brechas y Priorización'!$A$2:$A$37,0)),"")</f>
        <v/>
      </c>
      <c r="E3" s="10" t="s">
        <v>337</v>
      </c>
      <c r="F3" s="10" t="s">
        <v>334</v>
      </c>
      <c r="G3" s="10" t="s">
        <v>335</v>
      </c>
    </row>
    <row r="4" spans="1:7" ht="43.5">
      <c r="A4" s="10" t="s">
        <v>89</v>
      </c>
      <c r="B4" s="9" t="str">
        <f>IFERROR(INDEX('2. Diagnóstico'!$B$2:$B$37,MATCH(A4,'2. Diagnóstico'!$A$2:$A$37,0)),"")</f>
        <v>2. Procesos y Operación</v>
      </c>
      <c r="C4" s="10" t="s">
        <v>338</v>
      </c>
      <c r="D4" s="9" t="str">
        <f>IFERROR(INDEX('5. Brechas y Priorización'!$F$2:$F$37,MATCH(A4,'5. Brechas y Priorización'!$A$2:$A$37,0)),"")</f>
        <v/>
      </c>
      <c r="E4" s="10" t="s">
        <v>339</v>
      </c>
      <c r="F4" s="10" t="s">
        <v>334</v>
      </c>
      <c r="G4" s="10" t="s">
        <v>335</v>
      </c>
    </row>
    <row r="5" spans="1:7" ht="43.5">
      <c r="A5" s="10" t="s">
        <v>96</v>
      </c>
      <c r="B5" s="9" t="str">
        <f>IFERROR(INDEX('2. Diagnóstico'!$B$2:$B$37,MATCH(A5,'2. Diagnóstico'!$A$2:$A$37,0)),"")</f>
        <v>2. Procesos y Operación</v>
      </c>
      <c r="C5" s="10" t="s">
        <v>340</v>
      </c>
      <c r="D5" s="9" t="str">
        <f>IFERROR(INDEX('5. Brechas y Priorización'!$F$2:$F$37,MATCH(A5,'5. Brechas y Priorización'!$A$2:$A$37,0)),"")</f>
        <v/>
      </c>
      <c r="E5" s="10" t="s">
        <v>341</v>
      </c>
      <c r="F5" s="10" t="s">
        <v>334</v>
      </c>
      <c r="G5" s="10" t="s">
        <v>335</v>
      </c>
    </row>
    <row r="6" spans="1:7" ht="43.5">
      <c r="A6" s="10" t="s">
        <v>153</v>
      </c>
      <c r="B6" s="9" t="str">
        <f>IFERROR(INDEX('2. Diagnóstico'!$B$2:$B$37,MATCH(A6,'2. Diagnóstico'!$A$2:$A$37,0)),"")</f>
        <v>3. Datos, Analítica e IA</v>
      </c>
      <c r="C6" s="10" t="s">
        <v>342</v>
      </c>
      <c r="D6" s="9" t="str">
        <f>IFERROR(INDEX('5. Brechas y Priorización'!$F$2:$F$37,MATCH(A6,'5. Brechas y Priorización'!$A$2:$A$37,0)),"")</f>
        <v/>
      </c>
      <c r="E6" s="10" t="s">
        <v>343</v>
      </c>
      <c r="F6" s="10" t="s">
        <v>334</v>
      </c>
      <c r="G6" s="10" t="s">
        <v>335</v>
      </c>
    </row>
    <row r="7" spans="1:7" ht="43.5">
      <c r="A7" s="10" t="s">
        <v>196</v>
      </c>
      <c r="B7" s="9" t="str">
        <f>IFERROR(INDEX('2. Diagnóstico'!$B$2:$B$37,MATCH(A7,'2. Diagnóstico'!$A$2:$A$37,0)),"")</f>
        <v>5. Ciberseguridad y Riesgo</v>
      </c>
      <c r="C7" s="10" t="s">
        <v>344</v>
      </c>
      <c r="D7" s="9" t="str">
        <f>IFERROR(INDEX('5. Brechas y Priorización'!$F$2:$F$37,MATCH(A7,'5. Brechas y Priorización'!$A$2:$A$37,0)),"")</f>
        <v/>
      </c>
      <c r="E7" s="10" t="s">
        <v>345</v>
      </c>
      <c r="F7" s="10" t="s">
        <v>334</v>
      </c>
      <c r="G7" s="10" t="s">
        <v>335</v>
      </c>
    </row>
    <row r="8" spans="1:7" ht="43.5">
      <c r="A8" s="10" t="s">
        <v>240</v>
      </c>
      <c r="B8" s="9" t="str">
        <f>IFERROR(INDEX('2. Diagnóstico'!$B$2:$B$37,MATCH(A8,'2. Diagnóstico'!$A$2:$A$37,0)),"")</f>
        <v>6. Cultura, Talento y Gestión del Cambio</v>
      </c>
      <c r="C8" s="10" t="s">
        <v>346</v>
      </c>
      <c r="D8" s="9" t="str">
        <f>IFERROR(INDEX('5. Brechas y Priorización'!$F$2:$F$37,MATCH(A8,'5. Brechas y Priorización'!$A$2:$A$37,0)),"")</f>
        <v/>
      </c>
      <c r="E8" s="10" t="s">
        <v>347</v>
      </c>
      <c r="F8" s="10" t="s">
        <v>348</v>
      </c>
      <c r="G8" s="10" t="s">
        <v>335</v>
      </c>
    </row>
    <row r="9" spans="1:7" ht="43.5">
      <c r="A9" s="10" t="s">
        <v>254</v>
      </c>
      <c r="B9" s="9" t="str">
        <f>IFERROR(INDEX('2. Diagnóstico'!$B$2:$B$37,MATCH(A9,'2. Diagnóstico'!$A$2:$A$37,0)),"")</f>
        <v>6. Cultura, Talento y Gestión del Cambio</v>
      </c>
      <c r="C9" s="10" t="s">
        <v>349</v>
      </c>
      <c r="D9" s="9" t="str">
        <f>IFERROR(INDEX('5. Brechas y Priorización'!$F$2:$F$37,MATCH(A9,'5. Brechas y Priorización'!$A$2:$A$37,0)),"")</f>
        <v/>
      </c>
      <c r="E9" s="10" t="s">
        <v>350</v>
      </c>
      <c r="F9" s="10" t="s">
        <v>348</v>
      </c>
      <c r="G9" s="10" t="s">
        <v>335</v>
      </c>
    </row>
    <row r="10" spans="1:7" ht="43.5">
      <c r="A10" s="10" t="s">
        <v>261</v>
      </c>
      <c r="B10" s="9" t="str">
        <f>IFERROR(INDEX('2. Diagnóstico'!$B$2:$B$37,MATCH(A10,'2. Diagnóstico'!$A$2:$A$37,0)),"")</f>
        <v>6. Cultura, Talento y Gestión del Cambio</v>
      </c>
      <c r="C10" s="10" t="s">
        <v>351</v>
      </c>
      <c r="D10" s="9" t="str">
        <f>IFERROR(INDEX('5. Brechas y Priorización'!$F$2:$F$37,MATCH(A10,'5. Brechas y Priorización'!$A$2:$A$37,0)),"")</f>
        <v/>
      </c>
      <c r="E10" s="10" t="s">
        <v>352</v>
      </c>
      <c r="F10" s="10" t="s">
        <v>348</v>
      </c>
      <c r="G10" s="10" t="s">
        <v>335</v>
      </c>
    </row>
    <row r="11" spans="1:7" ht="43.5">
      <c r="A11" s="10" t="s">
        <v>276</v>
      </c>
      <c r="B11" s="9" t="str">
        <f>IFERROR(INDEX('2. Diagnóstico'!$B$2:$B$37,MATCH(A11,'2. Diagnóstico'!$A$2:$A$37,0)),"")</f>
        <v>7. Experiencia Digital</v>
      </c>
      <c r="C11" s="10" t="s">
        <v>353</v>
      </c>
      <c r="D11" s="9" t="str">
        <f>IFERROR(INDEX('5. Brechas y Priorización'!$F$2:$F$37,MATCH(A11,'5. Brechas y Priorización'!$A$2:$A$37,0)),"")</f>
        <v/>
      </c>
      <c r="E11" s="10" t="s">
        <v>354</v>
      </c>
      <c r="F11" s="10" t="s">
        <v>348</v>
      </c>
      <c r="G11" s="10" t="s">
        <v>335</v>
      </c>
    </row>
    <row r="12" spans="1:7" ht="43.5">
      <c r="A12" s="10" t="s">
        <v>290</v>
      </c>
      <c r="B12" s="9" t="str">
        <f>IFERROR(INDEX('2. Diagnóstico'!$B$2:$B$37,MATCH(A12,'2. Diagnóstico'!$A$2:$A$37,0)),"")</f>
        <v>7. Experiencia Digital</v>
      </c>
      <c r="C12" s="10" t="s">
        <v>355</v>
      </c>
      <c r="D12" s="9" t="str">
        <f>IFERROR(INDEX('5. Brechas y Priorización'!$F$2:$F$37,MATCH(A12,'5. Brechas y Priorización'!$A$2:$A$37,0)),"")</f>
        <v/>
      </c>
      <c r="E12" s="10" t="s">
        <v>356</v>
      </c>
      <c r="F12" s="10" t="s">
        <v>348</v>
      </c>
      <c r="G12" s="10" t="s">
        <v>335</v>
      </c>
    </row>
    <row r="13" spans="1:7" ht="43.5">
      <c r="A13" s="10" t="s">
        <v>297</v>
      </c>
      <c r="B13" s="9" t="str">
        <f>IFERROR(INDEX('2. Diagnóstico'!$B$2:$B$37,MATCH(A13,'2. Diagnóstico'!$A$2:$A$37,0)),"")</f>
        <v>7. Experiencia Digital</v>
      </c>
      <c r="C13" s="10" t="s">
        <v>357</v>
      </c>
      <c r="D13" s="9" t="str">
        <f>IFERROR(INDEX('5. Brechas y Priorización'!$F$2:$F$37,MATCH(A13,'5. Brechas y Priorización'!$A$2:$A$37,0)),"")</f>
        <v/>
      </c>
      <c r="E13" s="10" t="s">
        <v>358</v>
      </c>
      <c r="F13" s="10" t="s">
        <v>348</v>
      </c>
      <c r="G13" s="10" t="s">
        <v>335</v>
      </c>
    </row>
    <row r="14" spans="1:7">
      <c r="A14" s="10"/>
      <c r="B14" s="9" t="str">
        <f>IFERROR(INDEX('2. Diagnóstico'!$B$2:$B$37,MATCH(A14,'2. Diagnóstico'!$A$2:$A$37,0)),"")</f>
        <v/>
      </c>
      <c r="C14" s="10"/>
      <c r="D14" s="9" t="str">
        <f>IFERROR(INDEX('5. Brechas y Priorización'!$F$2:$F$37,MATCH(A14,'5. Brechas y Priorización'!$A$2:$A$37,0)),"")</f>
        <v/>
      </c>
      <c r="E14" s="10"/>
      <c r="F14" s="10"/>
      <c r="G14" s="10" t="s">
        <v>359</v>
      </c>
    </row>
    <row r="15" spans="1:7">
      <c r="A15" s="10"/>
      <c r="B15" s="9" t="str">
        <f>IFERROR(INDEX('2. Diagnóstico'!$B$2:$B$37,MATCH(A15,'2. Diagnóstico'!$A$2:$A$37,0)),"")</f>
        <v/>
      </c>
      <c r="C15" s="10"/>
      <c r="D15" s="9" t="str">
        <f>IFERROR(INDEX('5. Brechas y Priorización'!$F$2:$F$37,MATCH(A15,'5. Brechas y Priorización'!$A$2:$A$37,0)),"")</f>
        <v/>
      </c>
      <c r="E15" s="10"/>
      <c r="F15" s="10"/>
      <c r="G15" s="10" t="s">
        <v>359</v>
      </c>
    </row>
  </sheetData>
  <dataValidations count="2">
    <dataValidation type="list" allowBlank="1" sqref="G2:G15" xr:uid="{00000000-0002-0000-0700-000000000000}">
      <formula1>"No iniciada,En curso,Completada,Bloqueada"</formula1>
      <formula2>0</formula2>
    </dataValidation>
    <dataValidation type="list" allowBlank="1" sqref="F2:F15" xr:uid="{00000000-0002-0000-0700-000001000000}">
      <formula1>"Corto plazo,Mediano plazo,Largo plazo"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2026-09-28T19:40:31Z</dcterms:created>
  <dcterms:modified xsi:type="dcterms:W3CDTF">2026-10-15T22:07:11Z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0x0101009201E37223A2354A9647EDC97194A707</vt:lpwstr>
  </property>
  <property fmtid="{D5CDD505-2E9C-101B-9397-08002B2CF9AE}" pid="3" name="MediaServiceImageTags">
    <vt:lpwstr/>
  </property>
</Properties>
</file>